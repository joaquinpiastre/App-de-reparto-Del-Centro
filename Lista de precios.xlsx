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CIA\Desktop\"/>
    </mc:Choice>
  </mc:AlternateContent>
  <xr:revisionPtr revIDLastSave="0" documentId="13_ncr:1_{036FFA32-2D3F-4A4E-99A0-0C43320C7E9A}" xr6:coauthVersionLast="47" xr6:coauthVersionMax="47" xr10:uidLastSave="{00000000-0000-0000-0000-000000000000}"/>
  <bookViews>
    <workbookView xWindow="-120" yWindow="-120" windowWidth="29040" windowHeight="15840" xr2:uid="{DD3A3E17-700D-4C72-A7EA-AA16583B64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34" i="1" l="1"/>
  <c r="A2334" i="1"/>
  <c r="B2333" i="1"/>
  <c r="A2333" i="1"/>
  <c r="B2332" i="1"/>
  <c r="A2332" i="1"/>
  <c r="B2331" i="1"/>
  <c r="A2331" i="1"/>
  <c r="B2330" i="1"/>
  <c r="A2330" i="1"/>
  <c r="B2329" i="1"/>
  <c r="A2329" i="1"/>
  <c r="B2328" i="1"/>
  <c r="A2328" i="1"/>
  <c r="B2327" i="1"/>
  <c r="A2327" i="1"/>
  <c r="B2326" i="1"/>
  <c r="A2326" i="1"/>
  <c r="B2325" i="1"/>
  <c r="A2325" i="1"/>
  <c r="B2324" i="1"/>
  <c r="A2324" i="1"/>
  <c r="B2323" i="1"/>
  <c r="A2323" i="1"/>
  <c r="B2322" i="1"/>
  <c r="A2322" i="1"/>
  <c r="B2321" i="1"/>
  <c r="A2321" i="1"/>
  <c r="B2320" i="1"/>
  <c r="A2320" i="1"/>
  <c r="B2319" i="1"/>
  <c r="A2319" i="1"/>
  <c r="B2318" i="1"/>
  <c r="A2318" i="1"/>
  <c r="B2317" i="1"/>
  <c r="A2317" i="1"/>
  <c r="B2316" i="1"/>
  <c r="A2316" i="1"/>
  <c r="B2315" i="1"/>
  <c r="A2315" i="1"/>
  <c r="B2314" i="1"/>
  <c r="A2314" i="1"/>
  <c r="B2313" i="1"/>
  <c r="A2313" i="1"/>
  <c r="B2312" i="1"/>
  <c r="A2312" i="1"/>
  <c r="B2311" i="1"/>
  <c r="A2311" i="1"/>
  <c r="B2310" i="1"/>
  <c r="A2310" i="1"/>
  <c r="B2309" i="1"/>
  <c r="A2309" i="1"/>
  <c r="B2308" i="1"/>
  <c r="A2308" i="1"/>
  <c r="B2307" i="1"/>
  <c r="A2307" i="1"/>
  <c r="B2306" i="1"/>
  <c r="A2306" i="1"/>
  <c r="B2305" i="1"/>
  <c r="A2305" i="1"/>
  <c r="B2304" i="1"/>
  <c r="A2304" i="1"/>
  <c r="B2303" i="1"/>
  <c r="A2303" i="1"/>
  <c r="B2302" i="1"/>
  <c r="A2302" i="1"/>
  <c r="B2301" i="1"/>
  <c r="A2301" i="1"/>
  <c r="B2300" i="1"/>
  <c r="A2300" i="1"/>
  <c r="B2299" i="1"/>
  <c r="A2299" i="1"/>
  <c r="B2298" i="1"/>
  <c r="A2298" i="1"/>
  <c r="B2297" i="1"/>
  <c r="A2297" i="1"/>
  <c r="B2296" i="1"/>
  <c r="A2296" i="1"/>
  <c r="B2295" i="1"/>
  <c r="A2295" i="1"/>
  <c r="B2294" i="1"/>
  <c r="A2294" i="1"/>
  <c r="B2293" i="1"/>
  <c r="A2293" i="1"/>
  <c r="B2292" i="1"/>
  <c r="A2292" i="1"/>
  <c r="B2291" i="1"/>
  <c r="A2291" i="1"/>
  <c r="B2290" i="1"/>
  <c r="A2290" i="1"/>
  <c r="B2289" i="1"/>
  <c r="A2289" i="1"/>
  <c r="B2288" i="1"/>
  <c r="A2288" i="1"/>
  <c r="B2287" i="1"/>
  <c r="A2287" i="1"/>
  <c r="B2286" i="1"/>
  <c r="A2286" i="1"/>
  <c r="B2285" i="1"/>
  <c r="A2285" i="1"/>
  <c r="B2284" i="1"/>
  <c r="A2284" i="1"/>
  <c r="B2283" i="1"/>
  <c r="A2283" i="1"/>
  <c r="B2282" i="1"/>
  <c r="A2282" i="1"/>
  <c r="B2281" i="1"/>
  <c r="A2281" i="1"/>
  <c r="B2280" i="1"/>
  <c r="A2280" i="1"/>
  <c r="B2279" i="1"/>
  <c r="A2279" i="1"/>
  <c r="B2278" i="1"/>
  <c r="A2278" i="1"/>
  <c r="B2277" i="1"/>
  <c r="A2277" i="1"/>
  <c r="B2276" i="1"/>
  <c r="A2276" i="1"/>
  <c r="B2275" i="1"/>
  <c r="A2275" i="1"/>
  <c r="B2274" i="1"/>
  <c r="A2274" i="1"/>
  <c r="B2273" i="1"/>
  <c r="A2273" i="1"/>
  <c r="B2272" i="1"/>
  <c r="A2272" i="1"/>
  <c r="B2271" i="1"/>
  <c r="A2271" i="1"/>
  <c r="B2270" i="1"/>
  <c r="A2270" i="1"/>
  <c r="B2269" i="1"/>
  <c r="A2269" i="1"/>
  <c r="B2268" i="1"/>
  <c r="A2268" i="1"/>
  <c r="B2267" i="1"/>
  <c r="A2267" i="1"/>
  <c r="B2266" i="1"/>
  <c r="A2266" i="1"/>
  <c r="B2265" i="1"/>
  <c r="A2265" i="1"/>
  <c r="B2264" i="1"/>
  <c r="A2264" i="1"/>
  <c r="B2263" i="1"/>
  <c r="A2263" i="1"/>
  <c r="B2262" i="1"/>
  <c r="A2262" i="1"/>
  <c r="B2261" i="1"/>
  <c r="A2261" i="1"/>
  <c r="B2260" i="1"/>
  <c r="A2260" i="1"/>
  <c r="B2259" i="1"/>
  <c r="A2259" i="1"/>
  <c r="B2258" i="1"/>
  <c r="A2258" i="1"/>
  <c r="B2257" i="1"/>
  <c r="A2257" i="1"/>
  <c r="B2256" i="1"/>
  <c r="A2256" i="1"/>
  <c r="B2255" i="1"/>
  <c r="A2255" i="1"/>
  <c r="B2254" i="1"/>
  <c r="A2254" i="1"/>
  <c r="B2253" i="1"/>
  <c r="A2253" i="1"/>
  <c r="B2252" i="1"/>
  <c r="A2252" i="1"/>
  <c r="B2251" i="1"/>
  <c r="A2251" i="1"/>
  <c r="B2250" i="1"/>
  <c r="A2250" i="1"/>
  <c r="B2249" i="1"/>
  <c r="A2249" i="1"/>
  <c r="B2248" i="1"/>
  <c r="A2248" i="1"/>
  <c r="B2247" i="1"/>
  <c r="A2247" i="1"/>
  <c r="B2246" i="1"/>
  <c r="A2246" i="1"/>
  <c r="B2245" i="1"/>
  <c r="A2245" i="1"/>
  <c r="B2244" i="1"/>
  <c r="A2244" i="1"/>
  <c r="B2243" i="1"/>
  <c r="A2243" i="1"/>
  <c r="B2242" i="1"/>
  <c r="A2242" i="1"/>
  <c r="B2241" i="1"/>
  <c r="A2241" i="1"/>
  <c r="B2240" i="1"/>
  <c r="A2240" i="1"/>
  <c r="B2239" i="1"/>
  <c r="A2239" i="1"/>
  <c r="B2238" i="1"/>
  <c r="A2238" i="1"/>
  <c r="B2237" i="1"/>
  <c r="A2237" i="1"/>
  <c r="B2236" i="1"/>
  <c r="A2236" i="1"/>
  <c r="B2235" i="1"/>
  <c r="A2235" i="1"/>
  <c r="B2234" i="1"/>
  <c r="A2234" i="1"/>
  <c r="B2233" i="1"/>
  <c r="A2233" i="1"/>
  <c r="B2232" i="1"/>
  <c r="A2232" i="1"/>
  <c r="A2231" i="1"/>
  <c r="B2230" i="1"/>
  <c r="A2230" i="1"/>
  <c r="B2229" i="1"/>
  <c r="A2229" i="1"/>
  <c r="B2228" i="1"/>
  <c r="A2228" i="1"/>
  <c r="B2227" i="1"/>
  <c r="A2227" i="1"/>
  <c r="B2226" i="1"/>
  <c r="A2226" i="1"/>
  <c r="B2225" i="1"/>
  <c r="A2225" i="1"/>
  <c r="B2224" i="1"/>
  <c r="A2224" i="1"/>
  <c r="B2223" i="1"/>
  <c r="A2223" i="1"/>
  <c r="B2222" i="1"/>
  <c r="A2222" i="1"/>
  <c r="B2221" i="1"/>
  <c r="A2221" i="1"/>
  <c r="B2220" i="1"/>
  <c r="A2220" i="1"/>
  <c r="B2219" i="1"/>
  <c r="A2219" i="1"/>
  <c r="B2218" i="1"/>
  <c r="A2218" i="1"/>
  <c r="B2217" i="1"/>
  <c r="A2217" i="1"/>
  <c r="B2216" i="1"/>
  <c r="A2216" i="1"/>
  <c r="B2215" i="1"/>
  <c r="A2215" i="1"/>
  <c r="B2214" i="1"/>
  <c r="A2214" i="1"/>
  <c r="B2213" i="1"/>
  <c r="A2213" i="1"/>
  <c r="B2212" i="1"/>
  <c r="A2212" i="1"/>
  <c r="B2211" i="1"/>
  <c r="A2211" i="1"/>
  <c r="B2210" i="1"/>
  <c r="A2210" i="1"/>
  <c r="B2209" i="1"/>
  <c r="A2209" i="1"/>
  <c r="B2208" i="1"/>
  <c r="A2208" i="1"/>
  <c r="B2207" i="1"/>
  <c r="A2207" i="1"/>
  <c r="B2206" i="1"/>
  <c r="A2206" i="1"/>
  <c r="B2205" i="1"/>
  <c r="A2205" i="1"/>
  <c r="B2204" i="1"/>
  <c r="A2204" i="1"/>
  <c r="B2203" i="1"/>
  <c r="A2203" i="1"/>
  <c r="B2202" i="1"/>
  <c r="A2202" i="1"/>
  <c r="B2201" i="1"/>
  <c r="A2201" i="1"/>
  <c r="B2200" i="1"/>
  <c r="A2200" i="1"/>
  <c r="B2199" i="1"/>
  <c r="A2199" i="1"/>
  <c r="B2198" i="1"/>
  <c r="A2198" i="1"/>
  <c r="B2197" i="1"/>
  <c r="A2197" i="1"/>
  <c r="B2196" i="1"/>
  <c r="A2196" i="1"/>
  <c r="B2195" i="1"/>
  <c r="A2195" i="1"/>
  <c r="B2194" i="1"/>
  <c r="A2194" i="1"/>
  <c r="B2193" i="1"/>
  <c r="A2193" i="1"/>
  <c r="B2192" i="1"/>
  <c r="A2192" i="1"/>
  <c r="B2191" i="1"/>
  <c r="A2191" i="1"/>
  <c r="B2190" i="1"/>
  <c r="A2190" i="1"/>
  <c r="B2189" i="1"/>
  <c r="A2189" i="1"/>
  <c r="B2188" i="1"/>
  <c r="A2188" i="1"/>
  <c r="B2187" i="1"/>
  <c r="A2187" i="1"/>
  <c r="B2186" i="1"/>
  <c r="A2186" i="1"/>
  <c r="B2185" i="1"/>
  <c r="A2185" i="1"/>
  <c r="B2184" i="1"/>
  <c r="A2184" i="1"/>
  <c r="B2183" i="1"/>
  <c r="A2183" i="1"/>
  <c r="B2182" i="1"/>
  <c r="A2182" i="1"/>
  <c r="B2181" i="1"/>
  <c r="A2181" i="1"/>
  <c r="B2180" i="1"/>
  <c r="A2180" i="1"/>
  <c r="B2179" i="1"/>
  <c r="A2179" i="1"/>
  <c r="B2178" i="1"/>
  <c r="A2178" i="1"/>
  <c r="B2177" i="1"/>
  <c r="A2177" i="1"/>
  <c r="B2176" i="1"/>
  <c r="A2176" i="1"/>
  <c r="B2175" i="1"/>
  <c r="A2175" i="1"/>
  <c r="B2174" i="1"/>
  <c r="A2174" i="1"/>
  <c r="B2173" i="1"/>
  <c r="A2173" i="1"/>
  <c r="B2172" i="1"/>
  <c r="A2172" i="1"/>
  <c r="B2171" i="1"/>
  <c r="A2171" i="1"/>
  <c r="B2170" i="1"/>
  <c r="A2170" i="1"/>
  <c r="B2169" i="1"/>
  <c r="A2169" i="1"/>
  <c r="B2168" i="1"/>
  <c r="A2168" i="1"/>
  <c r="B2167" i="1"/>
  <c r="A2167" i="1"/>
  <c r="B2166" i="1"/>
  <c r="A2166" i="1"/>
  <c r="B2165" i="1"/>
  <c r="A2165" i="1"/>
  <c r="B2164" i="1"/>
  <c r="A2164" i="1"/>
  <c r="B2163" i="1"/>
  <c r="A2163" i="1"/>
  <c r="B2162" i="1"/>
  <c r="A2162" i="1"/>
  <c r="B2161" i="1"/>
  <c r="A2161" i="1"/>
  <c r="B2160" i="1"/>
  <c r="A2160" i="1"/>
  <c r="B2159" i="1"/>
  <c r="A2159" i="1"/>
  <c r="B2158" i="1"/>
  <c r="A2158" i="1"/>
  <c r="B2157" i="1"/>
  <c r="A2157" i="1"/>
  <c r="B2156" i="1"/>
  <c r="A2156" i="1"/>
  <c r="B2155" i="1"/>
  <c r="A2155" i="1"/>
  <c r="B2154" i="1"/>
  <c r="A2154" i="1"/>
  <c r="B2153" i="1"/>
  <c r="A2153" i="1"/>
  <c r="B2152" i="1"/>
  <c r="A2152" i="1"/>
  <c r="B2151" i="1"/>
  <c r="A2151" i="1"/>
  <c r="B2150" i="1"/>
  <c r="A2150" i="1"/>
  <c r="B2149" i="1"/>
  <c r="A2149" i="1"/>
  <c r="B2148" i="1"/>
  <c r="A2148" i="1"/>
  <c r="B2147" i="1"/>
  <c r="A2147" i="1"/>
  <c r="B2146" i="1"/>
  <c r="A2146" i="1"/>
  <c r="B2145" i="1"/>
  <c r="A2145" i="1"/>
  <c r="B2144" i="1"/>
  <c r="A2144" i="1"/>
  <c r="B2143" i="1"/>
  <c r="A2143" i="1"/>
  <c r="B2142" i="1"/>
  <c r="A2142" i="1"/>
  <c r="B2141" i="1"/>
  <c r="A2141" i="1"/>
  <c r="B2140" i="1"/>
  <c r="A2140" i="1"/>
  <c r="B2139" i="1"/>
  <c r="A2139" i="1"/>
  <c r="B2138" i="1"/>
  <c r="A2138" i="1"/>
  <c r="B2137" i="1"/>
  <c r="A2137" i="1"/>
  <c r="B2136" i="1"/>
  <c r="A2136" i="1"/>
  <c r="B2135" i="1"/>
  <c r="A2135" i="1"/>
  <c r="B2134" i="1"/>
  <c r="A2134" i="1"/>
  <c r="B2133" i="1"/>
  <c r="A2133" i="1"/>
  <c r="B2132" i="1"/>
  <c r="A2132" i="1"/>
  <c r="B2131" i="1"/>
  <c r="A2131" i="1"/>
  <c r="B2130" i="1"/>
  <c r="A2130" i="1"/>
  <c r="B2129" i="1"/>
  <c r="A2129" i="1"/>
  <c r="B2128" i="1"/>
  <c r="A2128" i="1"/>
  <c r="B2127" i="1"/>
  <c r="A2127" i="1"/>
  <c r="B2126" i="1"/>
  <c r="A2126" i="1"/>
  <c r="B2125" i="1"/>
  <c r="A2125" i="1"/>
  <c r="B2124" i="1"/>
  <c r="A2124" i="1"/>
  <c r="B2123" i="1"/>
  <c r="A2123" i="1"/>
  <c r="B2122" i="1"/>
  <c r="A2122" i="1"/>
  <c r="B2121" i="1"/>
  <c r="A2121" i="1"/>
  <c r="B2120" i="1"/>
  <c r="A2120" i="1"/>
  <c r="B2119" i="1"/>
  <c r="A2119" i="1"/>
  <c r="B2118" i="1"/>
  <c r="A2118" i="1"/>
  <c r="B2117" i="1"/>
  <c r="A2117" i="1"/>
  <c r="B2116" i="1"/>
  <c r="A2116" i="1"/>
  <c r="B2115" i="1"/>
  <c r="A2115" i="1"/>
  <c r="B2114" i="1"/>
  <c r="A2114" i="1"/>
  <c r="B2113" i="1"/>
  <c r="A2113" i="1"/>
  <c r="B2112" i="1"/>
  <c r="A2112" i="1"/>
  <c r="B2111" i="1"/>
  <c r="A2111" i="1"/>
  <c r="B2110" i="1"/>
  <c r="A2110" i="1"/>
  <c r="B2109" i="1"/>
  <c r="A2109" i="1"/>
  <c r="B2108" i="1"/>
  <c r="A2108" i="1"/>
  <c r="B2107" i="1"/>
  <c r="A2107" i="1"/>
  <c r="B2106" i="1"/>
  <c r="A2106" i="1"/>
  <c r="B2105" i="1"/>
  <c r="A2105" i="1"/>
  <c r="B2104" i="1"/>
  <c r="A2104" i="1"/>
  <c r="B2103" i="1"/>
  <c r="A2103" i="1"/>
  <c r="B2102" i="1"/>
  <c r="A2102" i="1"/>
  <c r="B2101" i="1"/>
  <c r="A2101" i="1"/>
  <c r="B2100" i="1"/>
  <c r="A2100" i="1"/>
  <c r="B2099" i="1"/>
  <c r="A2099" i="1"/>
  <c r="B2098" i="1"/>
  <c r="A2098" i="1"/>
  <c r="B2097" i="1"/>
  <c r="A2097" i="1"/>
  <c r="B2096" i="1"/>
  <c r="A2096" i="1"/>
  <c r="B2095" i="1"/>
  <c r="A2095" i="1"/>
  <c r="B2094" i="1"/>
  <c r="A2094" i="1"/>
  <c r="B2093" i="1"/>
  <c r="A2093" i="1"/>
  <c r="B2092" i="1"/>
  <c r="A2092" i="1"/>
  <c r="B2091" i="1"/>
  <c r="A2091" i="1"/>
  <c r="B2090" i="1"/>
  <c r="A2090" i="1"/>
  <c r="B2089" i="1"/>
  <c r="A2089" i="1"/>
  <c r="B2088" i="1"/>
  <c r="A2088" i="1"/>
  <c r="B2087" i="1"/>
  <c r="A2087" i="1"/>
  <c r="B2086" i="1"/>
  <c r="A2086" i="1"/>
  <c r="B2085" i="1"/>
  <c r="A2085" i="1"/>
  <c r="A2084" i="1"/>
  <c r="B2083" i="1"/>
  <c r="A2083" i="1"/>
  <c r="B2082" i="1"/>
  <c r="A2082" i="1"/>
  <c r="B2081" i="1"/>
  <c r="A2081" i="1"/>
  <c r="B2080" i="1"/>
  <c r="A2080" i="1"/>
  <c r="B2079" i="1"/>
  <c r="A2079" i="1"/>
  <c r="B2078" i="1"/>
  <c r="A2078" i="1"/>
  <c r="A2077" i="1"/>
  <c r="B2076" i="1"/>
  <c r="A2076" i="1"/>
  <c r="B2075" i="1"/>
  <c r="A2075" i="1"/>
  <c r="B2074" i="1"/>
  <c r="A2074" i="1"/>
  <c r="B2073" i="1"/>
  <c r="A2073" i="1"/>
  <c r="B2072" i="1"/>
  <c r="A2072" i="1"/>
  <c r="B2071" i="1"/>
  <c r="A2071" i="1"/>
  <c r="B2070" i="1"/>
  <c r="A2070" i="1"/>
  <c r="B2069" i="1"/>
  <c r="A2069" i="1"/>
  <c r="B2068" i="1"/>
  <c r="A2068" i="1"/>
  <c r="B2067" i="1"/>
  <c r="A2067" i="1"/>
  <c r="B2066" i="1"/>
  <c r="A2066" i="1"/>
  <c r="B2065" i="1"/>
  <c r="A2065" i="1"/>
  <c r="B2064" i="1"/>
  <c r="A2064" i="1"/>
  <c r="B2063" i="1"/>
  <c r="A2063" i="1"/>
  <c r="B2062" i="1"/>
  <c r="A2062" i="1"/>
  <c r="B2061" i="1"/>
  <c r="A2061" i="1"/>
  <c r="B2060" i="1"/>
  <c r="A2060" i="1"/>
  <c r="B2059" i="1"/>
  <c r="A2059" i="1"/>
  <c r="B2058" i="1"/>
  <c r="A2058" i="1"/>
  <c r="B2057" i="1"/>
  <c r="A2057" i="1"/>
  <c r="B2056" i="1"/>
  <c r="A2056" i="1"/>
  <c r="B2055" i="1"/>
  <c r="A2055" i="1"/>
  <c r="B2054" i="1"/>
  <c r="A2054" i="1"/>
  <c r="B2053" i="1"/>
  <c r="A2053" i="1"/>
  <c r="B2052" i="1"/>
  <c r="A2052" i="1"/>
  <c r="B2051" i="1"/>
  <c r="A2051" i="1"/>
  <c r="A2050" i="1"/>
  <c r="B2049" i="1"/>
  <c r="A2049" i="1"/>
  <c r="B2048" i="1"/>
  <c r="A2048" i="1"/>
  <c r="B2047" i="1"/>
  <c r="A2047" i="1"/>
  <c r="B2046" i="1"/>
  <c r="A2046" i="1"/>
  <c r="B2045" i="1"/>
  <c r="A2045" i="1"/>
  <c r="B2044" i="1"/>
  <c r="A2044" i="1"/>
  <c r="B2043" i="1"/>
  <c r="A2043" i="1"/>
  <c r="B2042" i="1"/>
  <c r="A2042" i="1"/>
  <c r="B2041" i="1"/>
  <c r="A2041" i="1"/>
  <c r="B2040" i="1"/>
  <c r="A2040" i="1"/>
  <c r="B2039" i="1"/>
  <c r="A2039" i="1"/>
  <c r="B2038" i="1"/>
  <c r="A2038" i="1"/>
  <c r="B2037" i="1"/>
  <c r="A2037" i="1"/>
  <c r="B2036" i="1"/>
  <c r="A2036" i="1"/>
  <c r="B2035" i="1"/>
  <c r="A2035" i="1"/>
  <c r="B2034" i="1"/>
  <c r="A2034" i="1"/>
  <c r="B2033" i="1"/>
  <c r="A2033" i="1"/>
  <c r="B2032" i="1"/>
  <c r="A2032" i="1"/>
  <c r="B2031" i="1"/>
  <c r="A2031" i="1"/>
  <c r="B2030" i="1"/>
  <c r="A2030" i="1"/>
  <c r="B2029" i="1"/>
  <c r="A2029" i="1"/>
  <c r="B2028" i="1"/>
  <c r="A2028" i="1"/>
  <c r="B2027" i="1"/>
  <c r="A2027" i="1"/>
  <c r="A2026" i="1"/>
  <c r="A2025" i="1"/>
  <c r="A2024" i="1"/>
  <c r="A2023" i="1"/>
  <c r="A2022" i="1"/>
  <c r="A2021" i="1"/>
  <c r="A2020" i="1"/>
  <c r="B2019" i="1"/>
  <c r="A2019" i="1"/>
  <c r="B2018" i="1"/>
  <c r="A2018" i="1"/>
  <c r="B2017" i="1"/>
  <c r="A2017" i="1"/>
  <c r="B2016" i="1"/>
  <c r="A2016" i="1"/>
  <c r="B2015" i="1"/>
  <c r="A2015" i="1"/>
  <c r="B2014" i="1"/>
  <c r="A2014" i="1"/>
  <c r="B2013" i="1"/>
  <c r="A2013" i="1"/>
  <c r="B2012" i="1"/>
  <c r="A2012" i="1"/>
  <c r="B2011" i="1"/>
  <c r="A2011" i="1"/>
  <c r="B2010" i="1"/>
  <c r="A2010" i="1"/>
  <c r="B2009" i="1"/>
  <c r="A2009" i="1"/>
  <c r="B2008" i="1"/>
  <c r="A2008" i="1"/>
  <c r="B2007" i="1"/>
  <c r="A2007" i="1"/>
  <c r="B2006" i="1"/>
  <c r="A2006" i="1"/>
  <c r="B2005" i="1"/>
  <c r="A2005" i="1"/>
  <c r="B2004" i="1"/>
  <c r="A2004" i="1"/>
  <c r="B2003" i="1"/>
  <c r="A2003" i="1"/>
  <c r="B2002" i="1"/>
  <c r="A2002" i="1"/>
  <c r="B2001" i="1"/>
  <c r="A2001" i="1"/>
  <c r="B2000" i="1"/>
  <c r="A2000" i="1"/>
  <c r="B1999" i="1"/>
  <c r="A1999" i="1"/>
  <c r="B1998" i="1"/>
  <c r="A1998" i="1"/>
  <c r="B1997" i="1"/>
  <c r="A1997" i="1"/>
  <c r="B1996" i="1"/>
  <c r="A1996" i="1"/>
  <c r="B1995" i="1"/>
  <c r="A1995" i="1"/>
  <c r="B1994" i="1"/>
  <c r="A1994" i="1"/>
  <c r="B1993" i="1"/>
  <c r="A1993" i="1"/>
  <c r="B1992" i="1"/>
  <c r="A1992" i="1"/>
  <c r="B1991" i="1"/>
  <c r="A1991" i="1"/>
  <c r="B1990" i="1"/>
  <c r="A1990" i="1"/>
  <c r="B1989" i="1"/>
  <c r="A1989" i="1"/>
  <c r="B1988" i="1"/>
  <c r="A1988" i="1"/>
  <c r="B1987" i="1"/>
  <c r="A1987" i="1"/>
  <c r="B1986" i="1"/>
  <c r="A1986" i="1"/>
  <c r="B1985" i="1"/>
  <c r="A1985" i="1"/>
  <c r="B1984" i="1"/>
  <c r="A1984" i="1"/>
  <c r="B1983" i="1"/>
  <c r="A1983" i="1"/>
  <c r="B1982" i="1"/>
  <c r="A1982" i="1"/>
  <c r="B1981" i="1"/>
  <c r="A1981" i="1"/>
  <c r="B1980" i="1"/>
  <c r="A1980" i="1"/>
  <c r="B1979" i="1"/>
  <c r="A1979" i="1"/>
  <c r="B1978" i="1"/>
  <c r="A1978" i="1"/>
  <c r="B1977" i="1"/>
  <c r="A1977" i="1"/>
  <c r="B1976" i="1"/>
  <c r="A1976" i="1"/>
  <c r="B1975" i="1"/>
  <c r="A1975" i="1"/>
  <c r="B1974" i="1"/>
  <c r="A1974" i="1"/>
  <c r="B1973" i="1"/>
  <c r="A1973" i="1"/>
  <c r="B1972" i="1"/>
  <c r="A1972" i="1"/>
  <c r="B1971" i="1"/>
  <c r="A1971" i="1"/>
  <c r="B1970" i="1"/>
  <c r="A1970" i="1"/>
  <c r="B1969" i="1"/>
  <c r="A1969" i="1"/>
  <c r="B1968" i="1"/>
  <c r="A1968" i="1"/>
  <c r="B1967" i="1"/>
  <c r="A1967" i="1"/>
  <c r="B1966" i="1"/>
  <c r="A1966" i="1"/>
  <c r="B1965" i="1"/>
  <c r="A1965" i="1"/>
  <c r="B1964" i="1"/>
  <c r="A1964" i="1"/>
  <c r="B1963" i="1"/>
  <c r="A1963" i="1"/>
  <c r="B1962" i="1"/>
  <c r="A1962" i="1"/>
  <c r="B1961" i="1"/>
  <c r="A1961" i="1"/>
  <c r="B1960" i="1"/>
  <c r="A1960" i="1"/>
  <c r="B1959" i="1"/>
  <c r="A1959" i="1"/>
  <c r="B1958" i="1"/>
  <c r="A1958" i="1"/>
  <c r="B1957" i="1"/>
  <c r="A1957" i="1"/>
  <c r="B1956" i="1"/>
  <c r="A1956" i="1"/>
  <c r="B1955" i="1"/>
  <c r="A1955" i="1"/>
  <c r="B1954" i="1"/>
  <c r="A1954" i="1"/>
  <c r="B1953" i="1"/>
  <c r="A1953" i="1"/>
  <c r="B1952" i="1"/>
  <c r="A1952" i="1"/>
  <c r="B1951" i="1"/>
  <c r="A1951" i="1"/>
  <c r="B1950" i="1"/>
  <c r="A1950" i="1"/>
  <c r="B1949" i="1"/>
  <c r="A1949" i="1"/>
  <c r="B1948" i="1"/>
  <c r="A1948" i="1"/>
  <c r="B1947" i="1"/>
  <c r="A1947" i="1"/>
  <c r="B1946" i="1"/>
  <c r="A1946" i="1"/>
  <c r="B1945" i="1"/>
  <c r="A1945" i="1"/>
  <c r="B1944" i="1"/>
  <c r="A1944" i="1"/>
  <c r="B1943" i="1"/>
  <c r="A1943" i="1"/>
  <c r="B1942" i="1"/>
  <c r="A1942" i="1"/>
  <c r="B1941" i="1"/>
  <c r="A1941" i="1"/>
  <c r="B1940" i="1"/>
  <c r="A1940" i="1"/>
  <c r="B1939" i="1"/>
  <c r="A1939" i="1"/>
  <c r="B1938" i="1"/>
  <c r="A1938" i="1"/>
  <c r="B1937" i="1"/>
  <c r="A1937" i="1"/>
  <c r="B1936" i="1"/>
  <c r="A1936" i="1"/>
  <c r="B1935" i="1"/>
  <c r="A1935" i="1"/>
  <c r="B1934" i="1"/>
  <c r="A1934" i="1"/>
  <c r="B1933" i="1"/>
  <c r="A1933" i="1"/>
  <c r="B1932" i="1"/>
  <c r="A1932" i="1"/>
  <c r="B1931" i="1"/>
  <c r="A1931" i="1"/>
  <c r="B1930" i="1"/>
  <c r="A1930" i="1"/>
  <c r="B1929" i="1"/>
  <c r="A1929" i="1"/>
  <c r="B1928" i="1"/>
  <c r="A1928" i="1"/>
  <c r="B1927" i="1"/>
  <c r="A1927" i="1"/>
  <c r="B1926" i="1"/>
  <c r="A1926" i="1"/>
  <c r="B1925" i="1"/>
  <c r="A1925" i="1"/>
  <c r="B1924" i="1"/>
  <c r="A1924" i="1"/>
  <c r="B1923" i="1"/>
  <c r="A1923" i="1"/>
  <c r="B1922" i="1"/>
  <c r="A1922" i="1"/>
  <c r="B1921" i="1"/>
  <c r="A1921" i="1"/>
  <c r="B1920" i="1"/>
  <c r="A1920" i="1"/>
  <c r="B1919" i="1"/>
  <c r="A1919" i="1"/>
  <c r="B1918" i="1"/>
  <c r="A1918" i="1"/>
  <c r="B1917" i="1"/>
  <c r="A1917" i="1"/>
  <c r="B1916" i="1"/>
  <c r="A1916" i="1"/>
  <c r="B1915" i="1"/>
  <c r="A1915" i="1"/>
  <c r="B1914" i="1"/>
  <c r="A1914" i="1"/>
  <c r="B1913" i="1"/>
  <c r="A1913" i="1"/>
  <c r="B1912" i="1"/>
  <c r="A1912" i="1"/>
  <c r="B1911" i="1"/>
  <c r="A1911" i="1"/>
  <c r="B1910" i="1"/>
  <c r="A1910" i="1"/>
  <c r="B1909" i="1"/>
  <c r="A1909" i="1"/>
  <c r="B1908" i="1"/>
  <c r="A1908" i="1"/>
  <c r="B1907" i="1"/>
  <c r="A1907" i="1"/>
  <c r="B1906" i="1"/>
  <c r="A1906" i="1"/>
  <c r="B1905" i="1"/>
  <c r="A1905" i="1"/>
  <c r="B1904" i="1"/>
  <c r="A1904" i="1"/>
  <c r="B1903" i="1"/>
  <c r="A1903" i="1"/>
  <c r="B1902" i="1"/>
  <c r="A1902" i="1"/>
  <c r="B1901" i="1"/>
  <c r="A1901" i="1"/>
  <c r="B1900" i="1"/>
  <c r="A1900" i="1"/>
  <c r="B1899" i="1"/>
  <c r="A1899" i="1"/>
  <c r="B1898" i="1"/>
  <c r="A1898" i="1"/>
  <c r="B1897" i="1"/>
  <c r="A1897" i="1"/>
  <c r="B1896" i="1"/>
  <c r="A1896" i="1"/>
  <c r="B1895" i="1"/>
  <c r="A1895" i="1"/>
  <c r="B1894" i="1"/>
  <c r="A1894" i="1"/>
  <c r="B1893" i="1"/>
  <c r="A1893" i="1"/>
  <c r="B1892" i="1"/>
  <c r="A1892" i="1"/>
  <c r="B1891" i="1"/>
  <c r="A1891" i="1"/>
  <c r="B1890" i="1"/>
  <c r="A1890" i="1"/>
  <c r="B1889" i="1"/>
  <c r="A1889" i="1"/>
  <c r="B1888" i="1"/>
  <c r="A1888" i="1"/>
  <c r="B1887" i="1"/>
  <c r="A1887" i="1"/>
  <c r="B1886" i="1"/>
  <c r="A1886" i="1"/>
  <c r="B1885" i="1"/>
  <c r="A1885" i="1"/>
  <c r="B1884" i="1"/>
  <c r="A1884" i="1"/>
  <c r="B1883" i="1"/>
  <c r="A1883" i="1"/>
  <c r="B1882" i="1"/>
  <c r="A1882" i="1"/>
  <c r="B1881" i="1"/>
  <c r="A1881" i="1"/>
  <c r="B1880" i="1"/>
  <c r="A1880" i="1"/>
  <c r="B1879" i="1"/>
  <c r="A1879" i="1"/>
  <c r="B1878" i="1"/>
  <c r="A1878" i="1"/>
  <c r="B1877" i="1"/>
  <c r="A1877" i="1"/>
  <c r="B1876" i="1"/>
  <c r="A1876" i="1"/>
  <c r="B1875" i="1"/>
  <c r="A1875" i="1"/>
  <c r="B1874" i="1"/>
  <c r="A1874" i="1"/>
  <c r="B1873" i="1"/>
  <c r="A1873" i="1"/>
  <c r="B1872" i="1"/>
  <c r="A1872" i="1"/>
  <c r="B1871" i="1"/>
  <c r="A1871" i="1"/>
  <c r="B1870" i="1"/>
  <c r="A1870" i="1"/>
  <c r="B1869" i="1"/>
  <c r="A1869" i="1"/>
  <c r="B1868" i="1"/>
  <c r="A1868" i="1"/>
  <c r="B1867" i="1"/>
  <c r="A1867" i="1"/>
  <c r="B1866" i="1"/>
  <c r="A1866" i="1"/>
  <c r="B1865" i="1"/>
  <c r="A1865" i="1"/>
  <c r="B1864" i="1"/>
  <c r="A1864" i="1"/>
  <c r="B1863" i="1"/>
  <c r="A1863" i="1"/>
  <c r="B1862" i="1"/>
  <c r="A1862" i="1"/>
  <c r="B1861" i="1"/>
  <c r="A1861" i="1"/>
  <c r="B1860" i="1"/>
  <c r="A1860" i="1"/>
  <c r="B1859" i="1"/>
  <c r="A1859" i="1"/>
  <c r="B1858" i="1"/>
  <c r="A1858" i="1"/>
  <c r="B1857" i="1"/>
  <c r="A1857" i="1"/>
  <c r="B1856" i="1"/>
  <c r="A1856" i="1"/>
  <c r="B1855" i="1"/>
  <c r="A1855" i="1"/>
  <c r="B1854" i="1"/>
  <c r="A1854" i="1"/>
  <c r="B1853" i="1"/>
  <c r="A1853" i="1"/>
  <c r="B1852" i="1"/>
  <c r="A1852" i="1"/>
  <c r="B1851" i="1"/>
  <c r="A1851" i="1"/>
  <c r="B1850" i="1"/>
  <c r="A1850" i="1"/>
  <c r="B1849" i="1"/>
  <c r="A1849" i="1"/>
  <c r="B1848" i="1"/>
  <c r="A1848" i="1"/>
  <c r="B1847" i="1"/>
  <c r="A1847" i="1"/>
  <c r="B1846" i="1"/>
  <c r="A1846" i="1"/>
  <c r="B1845" i="1"/>
  <c r="A1845" i="1"/>
  <c r="B1844" i="1"/>
  <c r="A1844" i="1"/>
  <c r="B1843" i="1"/>
  <c r="A1843" i="1"/>
  <c r="B1842" i="1"/>
  <c r="A1842" i="1"/>
  <c r="B1841" i="1"/>
  <c r="A1841" i="1"/>
  <c r="B1840" i="1"/>
  <c r="A1840" i="1"/>
  <c r="B1839" i="1"/>
  <c r="A1839" i="1"/>
  <c r="B1838" i="1"/>
  <c r="A1838" i="1"/>
  <c r="B1837" i="1"/>
  <c r="A1837" i="1"/>
  <c r="B1836" i="1"/>
  <c r="A1836" i="1"/>
  <c r="B1835" i="1"/>
  <c r="A1835" i="1"/>
  <c r="B1834" i="1"/>
  <c r="A1834" i="1"/>
  <c r="B1833" i="1"/>
  <c r="A1833" i="1"/>
  <c r="B1832" i="1"/>
  <c r="A1832" i="1"/>
  <c r="B1831" i="1"/>
  <c r="A1831" i="1"/>
  <c r="B1830" i="1"/>
  <c r="A1830" i="1"/>
  <c r="B1829" i="1"/>
  <c r="A1829" i="1"/>
  <c r="B1828" i="1"/>
  <c r="A1828" i="1"/>
  <c r="B1827" i="1"/>
  <c r="A1827" i="1"/>
  <c r="B1826" i="1"/>
  <c r="A1826" i="1"/>
  <c r="B1825" i="1"/>
  <c r="A1825" i="1"/>
  <c r="B1824" i="1"/>
  <c r="A1824" i="1"/>
  <c r="B1823" i="1"/>
  <c r="A1823" i="1"/>
  <c r="B1822" i="1"/>
  <c r="A1822" i="1"/>
  <c r="B1821" i="1"/>
  <c r="A1821" i="1"/>
  <c r="B1820" i="1"/>
  <c r="A1820" i="1"/>
  <c r="B1819" i="1"/>
  <c r="A1819" i="1"/>
  <c r="B1818" i="1"/>
  <c r="A1818" i="1"/>
  <c r="B1817" i="1"/>
  <c r="A1817" i="1"/>
  <c r="B1816" i="1"/>
  <c r="A1816" i="1"/>
  <c r="B1815" i="1"/>
  <c r="A1815" i="1"/>
  <c r="B1814" i="1"/>
  <c r="A1814" i="1"/>
  <c r="B1813" i="1"/>
  <c r="A1813" i="1"/>
  <c r="B1812" i="1"/>
  <c r="A1812" i="1"/>
  <c r="B1811" i="1"/>
  <c r="A1811" i="1"/>
  <c r="B1810" i="1"/>
  <c r="A1810" i="1"/>
  <c r="B1809" i="1"/>
  <c r="A1809" i="1"/>
  <c r="B1808" i="1"/>
  <c r="A1808" i="1"/>
  <c r="B1807" i="1"/>
  <c r="A1807" i="1"/>
  <c r="B1806" i="1"/>
  <c r="A1806" i="1"/>
  <c r="B1805" i="1"/>
  <c r="A1805" i="1"/>
  <c r="B1804" i="1"/>
  <c r="A1804" i="1"/>
  <c r="B1803" i="1"/>
  <c r="A1803" i="1"/>
  <c r="B1802" i="1"/>
  <c r="A1802" i="1"/>
  <c r="B1801" i="1"/>
  <c r="A1801" i="1"/>
  <c r="B1800" i="1"/>
  <c r="A1800" i="1"/>
  <c r="B1799" i="1"/>
  <c r="A1799" i="1"/>
  <c r="B1798" i="1"/>
  <c r="A1798" i="1"/>
  <c r="B1797" i="1"/>
  <c r="A1797" i="1"/>
  <c r="B1796" i="1"/>
  <c r="A1796" i="1"/>
  <c r="B1795" i="1"/>
  <c r="A1795" i="1"/>
  <c r="B1794" i="1"/>
  <c r="A1794" i="1"/>
  <c r="B1793" i="1"/>
  <c r="A1793" i="1"/>
  <c r="B1792" i="1"/>
  <c r="A1792" i="1"/>
  <c r="B1791" i="1"/>
  <c r="A1791" i="1"/>
  <c r="B1790" i="1"/>
  <c r="A1790" i="1"/>
  <c r="B1789" i="1"/>
  <c r="A1789" i="1"/>
  <c r="B1788" i="1"/>
  <c r="A1788" i="1"/>
  <c r="B1787" i="1"/>
  <c r="A1787" i="1"/>
  <c r="B1786" i="1"/>
  <c r="A1786" i="1"/>
  <c r="B1785" i="1"/>
  <c r="A1785" i="1"/>
  <c r="B1784" i="1"/>
  <c r="A1784" i="1"/>
  <c r="B1783" i="1"/>
  <c r="A1783" i="1"/>
  <c r="B1782" i="1"/>
  <c r="A1782" i="1"/>
  <c r="B1781" i="1"/>
  <c r="A1781" i="1"/>
  <c r="B1780" i="1"/>
  <c r="A1780" i="1"/>
  <c r="B1779" i="1"/>
  <c r="A1779" i="1"/>
  <c r="B1778" i="1"/>
  <c r="A1778" i="1"/>
  <c r="B1777" i="1"/>
  <c r="A1777" i="1"/>
  <c r="B1776" i="1"/>
  <c r="A1776" i="1"/>
  <c r="B1775" i="1"/>
  <c r="A1775" i="1"/>
  <c r="B1774" i="1"/>
  <c r="A1774" i="1"/>
  <c r="B1773" i="1"/>
  <c r="A1773" i="1"/>
  <c r="B1772" i="1"/>
  <c r="A1772" i="1"/>
  <c r="B1771" i="1"/>
  <c r="A1771" i="1"/>
  <c r="B1770" i="1"/>
  <c r="A1770" i="1"/>
  <c r="B1769" i="1"/>
  <c r="A1769" i="1"/>
  <c r="B1768" i="1"/>
  <c r="A1768" i="1"/>
  <c r="B1767" i="1"/>
  <c r="A1767" i="1"/>
  <c r="B1766" i="1"/>
  <c r="A1766" i="1"/>
  <c r="B1765" i="1"/>
  <c r="A1765" i="1"/>
  <c r="B1764" i="1"/>
  <c r="A1764" i="1"/>
  <c r="B1763" i="1"/>
  <c r="A1763" i="1"/>
  <c r="B1762" i="1"/>
  <c r="A1762" i="1"/>
  <c r="B1761" i="1"/>
  <c r="A1761" i="1"/>
  <c r="B1760" i="1"/>
  <c r="A1760" i="1"/>
  <c r="B1759" i="1"/>
  <c r="A1759" i="1"/>
  <c r="B1758" i="1"/>
  <c r="A1758" i="1"/>
  <c r="B1757" i="1"/>
  <c r="A1757" i="1"/>
  <c r="B1756" i="1"/>
  <c r="A1756" i="1"/>
  <c r="B1755" i="1"/>
  <c r="A1755" i="1"/>
  <c r="B1754" i="1"/>
  <c r="A1754" i="1"/>
  <c r="B1753" i="1"/>
  <c r="A1753" i="1"/>
  <c r="B1752" i="1"/>
  <c r="A1752" i="1"/>
  <c r="B1751" i="1"/>
  <c r="A1751" i="1"/>
  <c r="B1750" i="1"/>
  <c r="A1750" i="1"/>
  <c r="B1749" i="1"/>
  <c r="A1749" i="1"/>
  <c r="B1748" i="1"/>
  <c r="A1748" i="1"/>
  <c r="B1747" i="1"/>
  <c r="A1747" i="1"/>
  <c r="B1746" i="1"/>
  <c r="A1746" i="1"/>
  <c r="B1745" i="1"/>
  <c r="A1745" i="1"/>
  <c r="B1744" i="1"/>
  <c r="A1744" i="1"/>
  <c r="B1743" i="1"/>
  <c r="A1743" i="1"/>
  <c r="B1742" i="1"/>
  <c r="A1742" i="1"/>
  <c r="B1741" i="1"/>
  <c r="A1741" i="1"/>
  <c r="B1740" i="1"/>
  <c r="A1740" i="1"/>
  <c r="B1739" i="1"/>
  <c r="A1739" i="1"/>
  <c r="B1738" i="1"/>
  <c r="A1738" i="1"/>
  <c r="B1737" i="1"/>
  <c r="A1737" i="1"/>
  <c r="B1736" i="1"/>
  <c r="A1736" i="1"/>
  <c r="B1735" i="1"/>
  <c r="A1735" i="1"/>
  <c r="B1734" i="1"/>
  <c r="A1734" i="1"/>
  <c r="B1733" i="1"/>
  <c r="A1733" i="1"/>
  <c r="B1732" i="1"/>
  <c r="A1732" i="1"/>
  <c r="B1731" i="1"/>
  <c r="A1731" i="1"/>
  <c r="B1730" i="1"/>
  <c r="A1730" i="1"/>
  <c r="B1729" i="1"/>
  <c r="A1729" i="1"/>
  <c r="B1728" i="1"/>
  <c r="A1728" i="1"/>
  <c r="B1727" i="1"/>
  <c r="A1727" i="1"/>
  <c r="B1726" i="1"/>
  <c r="A1726" i="1"/>
  <c r="B1725" i="1"/>
  <c r="A1725" i="1"/>
  <c r="B1724" i="1"/>
  <c r="A1724" i="1"/>
  <c r="B1723" i="1"/>
  <c r="A1723" i="1"/>
  <c r="B1722" i="1"/>
  <c r="A1722" i="1"/>
  <c r="B1721" i="1"/>
  <c r="A1721" i="1"/>
  <c r="B1720" i="1"/>
  <c r="A1720" i="1"/>
  <c r="B1719" i="1"/>
  <c r="A1719" i="1"/>
  <c r="B1718" i="1"/>
  <c r="A1718" i="1"/>
  <c r="B1717" i="1"/>
  <c r="A1717" i="1"/>
  <c r="B1716" i="1"/>
  <c r="A1716" i="1"/>
  <c r="B1715" i="1"/>
  <c r="A1715" i="1"/>
  <c r="B1714" i="1"/>
  <c r="A1714" i="1"/>
  <c r="B1713" i="1"/>
  <c r="A1713" i="1"/>
  <c r="B1712" i="1"/>
  <c r="A1712" i="1"/>
  <c r="B1711" i="1"/>
  <c r="A1711" i="1"/>
  <c r="B1710" i="1"/>
  <c r="A1710" i="1"/>
  <c r="B1709" i="1"/>
  <c r="A1709" i="1"/>
  <c r="B1708" i="1"/>
  <c r="A1708" i="1"/>
  <c r="B1707" i="1"/>
  <c r="A1707" i="1"/>
  <c r="B1706" i="1"/>
  <c r="A1706" i="1"/>
  <c r="B1705" i="1"/>
  <c r="A1705" i="1"/>
  <c r="B1704" i="1"/>
  <c r="A1704" i="1"/>
  <c r="B1703" i="1"/>
  <c r="A1703" i="1"/>
  <c r="B1702" i="1"/>
  <c r="A1702" i="1"/>
  <c r="B1701" i="1"/>
  <c r="A1701" i="1"/>
  <c r="B1700" i="1"/>
  <c r="A1700" i="1"/>
  <c r="B1699" i="1"/>
  <c r="A1699" i="1"/>
  <c r="B1698" i="1"/>
  <c r="A1698" i="1"/>
  <c r="B1697" i="1"/>
  <c r="A1697" i="1"/>
  <c r="B1696" i="1"/>
  <c r="A1696" i="1"/>
  <c r="B1695" i="1"/>
  <c r="A1695" i="1"/>
  <c r="B1694" i="1"/>
  <c r="A1694" i="1"/>
  <c r="B1693" i="1"/>
  <c r="A1693" i="1"/>
  <c r="B1692" i="1"/>
  <c r="A1692" i="1"/>
  <c r="B1691" i="1"/>
  <c r="A1691" i="1"/>
  <c r="B1690" i="1"/>
  <c r="A1690" i="1"/>
  <c r="B1689" i="1"/>
  <c r="A1689" i="1"/>
  <c r="B1688" i="1"/>
  <c r="A1688" i="1"/>
  <c r="B1687" i="1"/>
  <c r="A1687" i="1"/>
  <c r="B1686" i="1"/>
  <c r="A1686" i="1"/>
  <c r="B1685" i="1"/>
  <c r="A1685" i="1"/>
  <c r="B1684" i="1"/>
  <c r="A1684" i="1"/>
  <c r="B1683" i="1"/>
  <c r="A1683" i="1"/>
  <c r="B1682" i="1"/>
  <c r="A1682" i="1"/>
  <c r="B1681" i="1"/>
  <c r="A1681" i="1"/>
  <c r="B1680" i="1"/>
  <c r="A1680" i="1"/>
  <c r="B1679" i="1"/>
  <c r="A1679" i="1"/>
  <c r="B1678" i="1"/>
  <c r="A1678" i="1"/>
  <c r="B1677" i="1"/>
  <c r="A1677" i="1"/>
  <c r="B1676" i="1"/>
  <c r="A1676" i="1"/>
  <c r="B1675" i="1"/>
  <c r="A1675" i="1"/>
  <c r="B1674" i="1"/>
  <c r="A1674" i="1"/>
  <c r="B1673" i="1"/>
  <c r="A1673" i="1"/>
  <c r="B1672" i="1"/>
  <c r="A1672" i="1"/>
  <c r="B1671" i="1"/>
  <c r="A1671" i="1"/>
  <c r="B1670" i="1"/>
  <c r="A1670" i="1"/>
  <c r="B1669" i="1"/>
  <c r="A1669" i="1"/>
  <c r="B1668" i="1"/>
  <c r="A1668" i="1"/>
  <c r="B1667" i="1"/>
  <c r="A1667" i="1"/>
  <c r="B1666" i="1"/>
  <c r="A1666" i="1"/>
  <c r="B1665" i="1"/>
  <c r="A1665" i="1"/>
  <c r="B1664" i="1"/>
  <c r="A1664" i="1"/>
  <c r="B1663" i="1"/>
  <c r="A1663" i="1"/>
  <c r="B1662" i="1"/>
  <c r="A1662" i="1"/>
  <c r="B1661" i="1"/>
  <c r="A1661" i="1"/>
  <c r="B1660" i="1"/>
  <c r="A1660" i="1"/>
  <c r="B1659" i="1"/>
  <c r="A1659" i="1"/>
  <c r="B1658" i="1"/>
  <c r="A1658" i="1"/>
  <c r="B1657" i="1"/>
  <c r="A1657" i="1"/>
  <c r="B1656" i="1"/>
  <c r="A1656" i="1"/>
  <c r="B1655" i="1"/>
  <c r="A1655" i="1"/>
  <c r="B1654" i="1"/>
  <c r="A1654" i="1"/>
  <c r="B1653" i="1"/>
  <c r="A1653" i="1"/>
  <c r="B1652" i="1"/>
  <c r="A1652" i="1"/>
  <c r="B1651" i="1"/>
  <c r="A1651" i="1"/>
  <c r="B1650" i="1"/>
  <c r="A1650" i="1"/>
  <c r="B1649" i="1"/>
  <c r="A1649" i="1"/>
  <c r="B1648" i="1"/>
  <c r="A1648" i="1"/>
  <c r="B1647" i="1"/>
  <c r="A1647" i="1"/>
  <c r="B1646" i="1"/>
  <c r="A1646" i="1"/>
  <c r="B1645" i="1"/>
  <c r="A1645" i="1"/>
  <c r="B1644" i="1"/>
  <c r="A1644" i="1"/>
  <c r="B1643" i="1"/>
  <c r="A1643" i="1"/>
  <c r="B1642" i="1"/>
  <c r="A1642" i="1"/>
  <c r="B1641" i="1"/>
  <c r="A1641" i="1"/>
  <c r="B1640" i="1"/>
  <c r="A1640" i="1"/>
  <c r="B1639" i="1"/>
  <c r="A1639" i="1"/>
  <c r="B1638" i="1"/>
  <c r="A1638" i="1"/>
  <c r="B1637" i="1"/>
  <c r="A1637" i="1"/>
  <c r="B1636" i="1"/>
  <c r="A1636" i="1"/>
  <c r="B1635" i="1"/>
  <c r="A1635" i="1"/>
  <c r="B1634" i="1"/>
  <c r="A1634" i="1"/>
  <c r="B1633" i="1"/>
  <c r="A1633" i="1"/>
  <c r="B1632" i="1"/>
  <c r="A1632" i="1"/>
  <c r="B1631" i="1"/>
  <c r="A1631" i="1"/>
  <c r="B1630" i="1"/>
  <c r="A1630" i="1"/>
  <c r="B1629" i="1"/>
  <c r="A1629" i="1"/>
  <c r="B1628" i="1"/>
  <c r="A1628" i="1"/>
  <c r="B1627" i="1"/>
  <c r="A1627" i="1"/>
  <c r="B1626" i="1"/>
  <c r="A1626" i="1"/>
  <c r="B1625" i="1"/>
  <c r="A1625" i="1"/>
  <c r="B1624" i="1"/>
  <c r="A1624" i="1"/>
  <c r="B1623" i="1"/>
  <c r="A1623" i="1"/>
  <c r="B1622" i="1"/>
  <c r="A1622" i="1"/>
  <c r="B1621" i="1"/>
  <c r="A1621" i="1"/>
  <c r="B1620" i="1"/>
  <c r="A1620" i="1"/>
  <c r="B1619" i="1"/>
  <c r="A1619" i="1"/>
  <c r="B1618" i="1"/>
  <c r="A1618" i="1"/>
  <c r="B1617" i="1"/>
  <c r="A1617" i="1"/>
  <c r="B1616" i="1"/>
  <c r="A1616" i="1"/>
  <c r="B1615" i="1"/>
  <c r="A1615" i="1"/>
  <c r="B1614" i="1"/>
  <c r="A1614" i="1"/>
  <c r="B1613" i="1"/>
  <c r="A1613" i="1"/>
  <c r="B1612" i="1"/>
  <c r="A1612" i="1"/>
  <c r="B1611" i="1"/>
  <c r="A1611" i="1"/>
  <c r="B1610" i="1"/>
  <c r="A1610" i="1"/>
  <c r="B1609" i="1"/>
  <c r="A1609" i="1"/>
  <c r="B1608" i="1"/>
  <c r="A1608" i="1"/>
  <c r="B1607" i="1"/>
  <c r="A1607" i="1"/>
  <c r="B1606" i="1"/>
  <c r="A1606" i="1"/>
  <c r="B1605" i="1"/>
  <c r="A1605" i="1"/>
  <c r="B1604" i="1"/>
  <c r="A1604" i="1"/>
  <c r="B1603" i="1"/>
  <c r="A1603" i="1"/>
  <c r="B1602" i="1"/>
  <c r="A1602" i="1"/>
  <c r="B1601" i="1"/>
  <c r="A1601" i="1"/>
  <c r="B1600" i="1"/>
  <c r="A1600" i="1"/>
  <c r="B1599" i="1"/>
  <c r="A1599" i="1"/>
  <c r="B1598" i="1"/>
  <c r="A1598" i="1"/>
  <c r="B1597" i="1"/>
  <c r="A1597" i="1"/>
  <c r="B1596" i="1"/>
  <c r="A1596" i="1"/>
  <c r="B1595" i="1"/>
  <c r="A1595" i="1"/>
  <c r="B1594" i="1"/>
  <c r="A1594" i="1"/>
  <c r="B1593" i="1"/>
  <c r="A1593" i="1"/>
  <c r="B1592" i="1"/>
  <c r="A1592" i="1"/>
  <c r="B1591" i="1"/>
  <c r="A1591" i="1"/>
  <c r="B1590" i="1"/>
  <c r="A1590" i="1"/>
  <c r="B1589" i="1"/>
  <c r="A1589" i="1"/>
  <c r="B1588" i="1"/>
  <c r="A1588" i="1"/>
  <c r="B1587" i="1"/>
  <c r="A1587" i="1"/>
  <c r="B1586" i="1"/>
  <c r="A1586" i="1"/>
  <c r="B1585" i="1"/>
  <c r="A1585" i="1"/>
  <c r="B1584" i="1"/>
  <c r="A1584" i="1"/>
  <c r="B1583" i="1"/>
  <c r="A1583" i="1"/>
  <c r="B1582" i="1"/>
  <c r="A1582" i="1"/>
  <c r="B1581" i="1"/>
  <c r="A1581" i="1"/>
  <c r="B1580" i="1"/>
  <c r="A1580" i="1"/>
  <c r="B1579" i="1"/>
  <c r="A1579" i="1"/>
  <c r="B1578" i="1"/>
  <c r="A1578" i="1"/>
  <c r="B1577" i="1"/>
  <c r="A1577" i="1"/>
  <c r="B1576" i="1"/>
  <c r="A1576" i="1"/>
  <c r="B1575" i="1"/>
  <c r="A1575" i="1"/>
  <c r="B1574" i="1"/>
  <c r="A1574" i="1"/>
  <c r="B1573" i="1"/>
  <c r="A1573" i="1"/>
  <c r="B1572" i="1"/>
  <c r="A1572" i="1"/>
  <c r="B1571" i="1"/>
  <c r="A1571" i="1"/>
  <c r="B1570" i="1"/>
  <c r="A1570" i="1"/>
  <c r="B1569" i="1"/>
  <c r="A1569" i="1"/>
  <c r="B1568" i="1"/>
  <c r="A1568" i="1"/>
  <c r="B1567" i="1"/>
  <c r="A1567" i="1"/>
  <c r="B1566" i="1"/>
  <c r="A1566" i="1"/>
  <c r="B1565" i="1"/>
  <c r="A1565" i="1"/>
  <c r="B1564" i="1"/>
  <c r="A1564" i="1"/>
  <c r="B1563" i="1"/>
  <c r="A1563" i="1"/>
  <c r="B1562" i="1"/>
  <c r="A1562" i="1"/>
  <c r="B1561" i="1"/>
  <c r="A1561" i="1"/>
  <c r="B1560" i="1"/>
  <c r="A1560" i="1"/>
  <c r="B1559" i="1"/>
  <c r="A1559" i="1"/>
  <c r="B1558" i="1"/>
  <c r="A1558" i="1"/>
  <c r="B1557" i="1"/>
  <c r="A1557" i="1"/>
  <c r="B1556" i="1"/>
  <c r="A1556" i="1"/>
  <c r="B1555" i="1"/>
  <c r="A1555" i="1"/>
  <c r="B1554" i="1"/>
  <c r="A1554" i="1"/>
  <c r="B1553" i="1"/>
  <c r="A1553" i="1"/>
  <c r="B1552" i="1"/>
  <c r="A1552" i="1"/>
  <c r="B1551" i="1"/>
  <c r="A1551" i="1"/>
  <c r="B1550" i="1"/>
  <c r="A1550" i="1"/>
  <c r="B1549" i="1"/>
  <c r="A1549" i="1"/>
  <c r="B1548" i="1"/>
  <c r="A1548" i="1"/>
  <c r="B1547" i="1"/>
  <c r="A1547" i="1"/>
  <c r="B1546" i="1"/>
  <c r="A1546" i="1"/>
  <c r="B1545" i="1"/>
  <c r="A1545" i="1"/>
  <c r="B1544" i="1"/>
  <c r="A1544" i="1"/>
  <c r="B1543" i="1"/>
  <c r="A1543" i="1"/>
  <c r="B1542" i="1"/>
  <c r="A1542" i="1"/>
  <c r="B1541" i="1"/>
  <c r="A1541" i="1"/>
  <c r="B1540" i="1"/>
  <c r="A1540" i="1"/>
  <c r="B1539" i="1"/>
  <c r="A1539" i="1"/>
  <c r="B1538" i="1"/>
  <c r="A1538" i="1"/>
  <c r="B1537" i="1"/>
  <c r="A1537" i="1"/>
  <c r="B1536" i="1"/>
  <c r="A1536" i="1"/>
  <c r="B1535" i="1"/>
  <c r="A1535" i="1"/>
  <c r="B1534" i="1"/>
  <c r="A1534" i="1"/>
  <c r="B1533" i="1"/>
  <c r="A1533" i="1"/>
  <c r="B1532" i="1"/>
  <c r="A1532" i="1"/>
  <c r="B1531" i="1"/>
  <c r="A1531" i="1"/>
  <c r="B1530" i="1"/>
  <c r="A1530" i="1"/>
  <c r="B1529" i="1"/>
  <c r="A1529" i="1"/>
  <c r="B1528" i="1"/>
  <c r="A1528" i="1"/>
  <c r="B1527" i="1"/>
  <c r="A1527" i="1"/>
  <c r="B1526" i="1"/>
  <c r="A1526" i="1"/>
  <c r="B1525" i="1"/>
  <c r="A1525" i="1"/>
  <c r="B1524" i="1"/>
  <c r="A1524" i="1"/>
  <c r="B1523" i="1"/>
  <c r="A1523" i="1"/>
  <c r="B1522" i="1"/>
  <c r="A1522" i="1"/>
  <c r="B1521" i="1"/>
  <c r="A1521" i="1"/>
  <c r="B1520" i="1"/>
  <c r="A1520" i="1"/>
  <c r="B1519" i="1"/>
  <c r="A1519" i="1"/>
  <c r="B1518" i="1"/>
  <c r="A1518" i="1"/>
  <c r="B1517" i="1"/>
  <c r="A1517" i="1"/>
  <c r="B1516" i="1"/>
  <c r="A1516" i="1"/>
  <c r="B1515" i="1"/>
  <c r="A1515" i="1"/>
  <c r="B1514" i="1"/>
  <c r="A1514" i="1"/>
  <c r="B1513" i="1"/>
  <c r="A1513" i="1"/>
  <c r="B1512" i="1"/>
  <c r="A1512" i="1"/>
  <c r="B1511" i="1"/>
  <c r="A1511" i="1"/>
  <c r="B1510" i="1"/>
  <c r="A1510" i="1"/>
  <c r="B1509" i="1"/>
  <c r="A1509" i="1"/>
  <c r="B1508" i="1"/>
  <c r="A1508" i="1"/>
  <c r="B1507" i="1"/>
  <c r="A1507" i="1"/>
  <c r="B1506" i="1"/>
  <c r="A1506" i="1"/>
  <c r="B1505" i="1"/>
  <c r="A1505" i="1"/>
  <c r="B1504" i="1"/>
  <c r="A1504" i="1"/>
  <c r="B1503" i="1"/>
  <c r="A1503" i="1"/>
  <c r="B1502" i="1"/>
  <c r="A1502" i="1"/>
  <c r="B1501" i="1"/>
  <c r="A1501" i="1"/>
  <c r="B1500" i="1"/>
  <c r="A1500" i="1"/>
  <c r="B1499" i="1"/>
  <c r="A1499" i="1"/>
  <c r="B1498" i="1"/>
  <c r="A1498" i="1"/>
  <c r="B1497" i="1"/>
  <c r="A1497" i="1"/>
  <c r="B1496" i="1"/>
  <c r="A1496" i="1"/>
  <c r="B1495" i="1"/>
  <c r="A1495" i="1"/>
  <c r="B1494" i="1"/>
  <c r="A1494" i="1"/>
  <c r="B1493" i="1"/>
  <c r="A1493" i="1"/>
  <c r="B1492" i="1"/>
  <c r="A1492" i="1"/>
  <c r="B1491" i="1"/>
  <c r="A1491" i="1"/>
  <c r="B1490" i="1"/>
  <c r="A1490" i="1"/>
  <c r="B1489" i="1"/>
  <c r="A1489" i="1"/>
  <c r="B1488" i="1"/>
  <c r="A1488" i="1"/>
  <c r="B1487" i="1"/>
  <c r="A1487" i="1"/>
  <c r="B1486" i="1"/>
  <c r="A1486" i="1"/>
  <c r="B1485" i="1"/>
  <c r="A1485" i="1"/>
  <c r="B1484" i="1"/>
  <c r="A1484" i="1"/>
  <c r="B1483" i="1"/>
  <c r="A1483" i="1"/>
  <c r="B1482" i="1"/>
  <c r="A1482" i="1"/>
  <c r="B1481" i="1"/>
  <c r="A1481" i="1"/>
  <c r="B1480" i="1"/>
  <c r="A1480" i="1"/>
  <c r="B1479" i="1"/>
  <c r="A1479" i="1"/>
  <c r="B1478" i="1"/>
  <c r="A1478" i="1"/>
  <c r="B1477" i="1"/>
  <c r="A1477" i="1"/>
  <c r="B1476" i="1"/>
  <c r="A1476" i="1"/>
  <c r="B1475" i="1"/>
  <c r="A1475" i="1"/>
  <c r="B1474" i="1"/>
  <c r="A1474" i="1"/>
  <c r="B1473" i="1"/>
  <c r="A1473" i="1"/>
  <c r="B1472" i="1"/>
  <c r="A1472" i="1"/>
  <c r="B1471" i="1"/>
  <c r="A1471" i="1"/>
  <c r="B1470" i="1"/>
  <c r="A1470" i="1"/>
  <c r="B1469" i="1"/>
  <c r="A1469" i="1"/>
  <c r="B1468" i="1"/>
  <c r="A1468" i="1"/>
  <c r="B1467" i="1"/>
  <c r="A1467" i="1"/>
  <c r="B1466" i="1"/>
  <c r="A1466" i="1"/>
  <c r="B1465" i="1"/>
  <c r="A1465" i="1"/>
  <c r="B1464" i="1"/>
  <c r="A1464" i="1"/>
  <c r="B1463" i="1"/>
  <c r="A1463" i="1"/>
  <c r="B1462" i="1"/>
  <c r="A1462" i="1"/>
  <c r="B1461" i="1"/>
  <c r="A1461" i="1"/>
  <c r="B1460" i="1"/>
  <c r="A1460" i="1"/>
  <c r="B1459" i="1"/>
  <c r="A1459" i="1"/>
  <c r="B1458" i="1"/>
  <c r="A1458" i="1"/>
  <c r="B1457" i="1"/>
  <c r="A1457" i="1"/>
  <c r="B1456" i="1"/>
  <c r="A1456" i="1"/>
  <c r="B1455" i="1"/>
  <c r="A1455" i="1"/>
  <c r="B1454" i="1"/>
  <c r="A1454" i="1"/>
  <c r="B1453" i="1"/>
  <c r="A1453" i="1"/>
  <c r="B1452" i="1"/>
  <c r="A1452" i="1"/>
  <c r="B1451" i="1"/>
  <c r="A1451" i="1"/>
  <c r="B1450" i="1"/>
  <c r="A1450" i="1"/>
  <c r="B1449" i="1"/>
  <c r="A1449" i="1"/>
  <c r="B1448" i="1"/>
  <c r="A1448" i="1"/>
  <c r="B1447" i="1"/>
  <c r="A1447" i="1"/>
  <c r="B1446" i="1"/>
  <c r="A1446" i="1"/>
  <c r="B1445" i="1"/>
  <c r="A1445" i="1"/>
  <c r="B1444" i="1"/>
  <c r="A1444" i="1"/>
  <c r="B1443" i="1"/>
  <c r="A1443" i="1"/>
  <c r="B1442" i="1"/>
  <c r="A1442" i="1"/>
  <c r="B1441" i="1"/>
  <c r="A1441" i="1"/>
  <c r="B1440" i="1"/>
  <c r="A1440" i="1"/>
  <c r="B1439" i="1"/>
  <c r="A1439" i="1"/>
  <c r="B1438" i="1"/>
  <c r="A1438" i="1"/>
  <c r="B1437" i="1"/>
  <c r="A1437" i="1"/>
  <c r="B1436" i="1"/>
  <c r="A1436" i="1"/>
  <c r="B1435" i="1"/>
  <c r="A1435" i="1"/>
  <c r="B1434" i="1"/>
  <c r="A1434" i="1"/>
  <c r="B1433" i="1"/>
  <c r="A1433" i="1"/>
  <c r="B1432" i="1"/>
  <c r="A1432" i="1"/>
  <c r="B1431" i="1"/>
  <c r="A1431" i="1"/>
  <c r="B1430" i="1"/>
  <c r="A1430" i="1"/>
  <c r="B1429" i="1"/>
  <c r="A1429" i="1"/>
  <c r="B1428" i="1"/>
  <c r="A1428" i="1"/>
  <c r="B1427" i="1"/>
  <c r="A1427" i="1"/>
  <c r="B1426" i="1"/>
  <c r="A1426" i="1"/>
  <c r="B1425" i="1"/>
  <c r="A1425" i="1"/>
  <c r="B1424" i="1"/>
  <c r="A1424" i="1"/>
  <c r="B1423" i="1"/>
  <c r="A1423" i="1"/>
  <c r="B1422" i="1"/>
  <c r="A1422" i="1"/>
  <c r="B1421" i="1"/>
  <c r="A1421" i="1"/>
  <c r="B1420" i="1"/>
  <c r="A1420" i="1"/>
  <c r="B1419" i="1"/>
  <c r="A1419" i="1"/>
  <c r="B1418" i="1"/>
  <c r="A1418" i="1"/>
  <c r="B1417" i="1"/>
  <c r="A1417" i="1"/>
  <c r="B1416" i="1"/>
  <c r="A1416" i="1"/>
  <c r="B1415" i="1"/>
  <c r="A1415" i="1"/>
  <c r="B1414" i="1"/>
  <c r="A1414" i="1"/>
  <c r="B1413" i="1"/>
  <c r="A1413" i="1"/>
  <c r="B1412" i="1"/>
  <c r="A1412" i="1"/>
  <c r="B1411" i="1"/>
  <c r="A1411" i="1"/>
  <c r="B1410" i="1"/>
  <c r="A1410" i="1"/>
  <c r="B1409" i="1"/>
  <c r="A1409" i="1"/>
  <c r="B1408" i="1"/>
  <c r="A1408" i="1"/>
  <c r="B1407" i="1"/>
  <c r="A1407" i="1"/>
  <c r="B1406" i="1"/>
  <c r="A1406" i="1"/>
  <c r="B1405" i="1"/>
  <c r="A1405" i="1"/>
  <c r="B1404" i="1"/>
  <c r="A1404" i="1"/>
  <c r="B1403" i="1"/>
  <c r="A1403" i="1"/>
  <c r="B1402" i="1"/>
  <c r="A1402" i="1"/>
  <c r="B1401" i="1"/>
  <c r="A1401" i="1"/>
  <c r="B1400" i="1"/>
  <c r="A1400" i="1"/>
  <c r="B1399" i="1"/>
  <c r="A1399" i="1"/>
  <c r="B1398" i="1"/>
  <c r="A1398" i="1"/>
  <c r="B1397" i="1"/>
  <c r="A1397" i="1"/>
  <c r="B1396" i="1"/>
  <c r="A1396" i="1"/>
  <c r="B1395" i="1"/>
  <c r="A1395" i="1"/>
  <c r="B1394" i="1"/>
  <c r="A1394" i="1"/>
  <c r="B1393" i="1"/>
  <c r="A1393" i="1"/>
  <c r="B1392" i="1"/>
  <c r="A1392" i="1"/>
  <c r="B1391" i="1"/>
  <c r="A1391" i="1"/>
  <c r="B1390" i="1"/>
  <c r="A1390" i="1"/>
  <c r="B1389" i="1"/>
  <c r="A1389" i="1"/>
  <c r="B1388" i="1"/>
  <c r="A1388" i="1"/>
  <c r="B1387" i="1"/>
  <c r="A1387" i="1"/>
  <c r="B1386" i="1"/>
  <c r="A1386" i="1"/>
  <c r="B1385" i="1"/>
  <c r="A1385" i="1"/>
  <c r="B1384" i="1"/>
  <c r="A1384" i="1"/>
  <c r="B1383" i="1"/>
  <c r="A1383" i="1"/>
  <c r="B1382" i="1"/>
  <c r="A1382" i="1"/>
  <c r="B1381" i="1"/>
  <c r="A1381" i="1"/>
  <c r="B1380" i="1"/>
  <c r="A1380" i="1"/>
  <c r="B1379" i="1"/>
  <c r="A1379" i="1"/>
  <c r="B1378" i="1"/>
  <c r="A1378" i="1"/>
  <c r="B1377" i="1"/>
  <c r="A1377" i="1"/>
  <c r="B1376" i="1"/>
  <c r="A1376" i="1"/>
  <c r="B1375" i="1"/>
  <c r="A1375" i="1"/>
  <c r="B1374" i="1"/>
  <c r="A1374" i="1"/>
  <c r="B1373" i="1"/>
  <c r="A1373" i="1"/>
  <c r="B1372" i="1"/>
  <c r="A1372" i="1"/>
  <c r="B1371" i="1"/>
  <c r="A1371" i="1"/>
  <c r="B1370" i="1"/>
  <c r="A1370" i="1"/>
  <c r="B1369" i="1"/>
  <c r="A1369" i="1"/>
  <c r="B1368" i="1"/>
  <c r="A1368" i="1"/>
  <c r="B1367" i="1"/>
  <c r="A1367" i="1"/>
  <c r="B1366" i="1"/>
  <c r="A1366" i="1"/>
  <c r="B1365" i="1"/>
  <c r="A1365" i="1"/>
  <c r="B1364" i="1"/>
  <c r="A1364" i="1"/>
  <c r="B1363" i="1"/>
  <c r="A1363" i="1"/>
  <c r="B1362" i="1"/>
  <c r="A1362" i="1"/>
  <c r="B1361" i="1"/>
  <c r="A1361" i="1"/>
  <c r="B1360" i="1"/>
  <c r="A1360" i="1"/>
  <c r="B1359" i="1"/>
  <c r="A1359" i="1"/>
  <c r="B1358" i="1"/>
  <c r="A1358" i="1"/>
  <c r="B1357" i="1"/>
  <c r="A1357" i="1"/>
  <c r="B1356" i="1"/>
  <c r="A1356" i="1"/>
  <c r="B1355" i="1"/>
  <c r="A1355" i="1"/>
  <c r="B1354" i="1"/>
  <c r="A1354" i="1"/>
  <c r="B1353" i="1"/>
  <c r="A1353" i="1"/>
  <c r="B1352" i="1"/>
  <c r="A1352" i="1"/>
  <c r="B1351" i="1"/>
  <c r="A1351" i="1"/>
  <c r="B1350" i="1"/>
  <c r="A1350" i="1"/>
  <c r="B1349" i="1"/>
  <c r="A1349" i="1"/>
  <c r="B1348" i="1"/>
  <c r="A1348" i="1"/>
  <c r="B1347" i="1"/>
  <c r="A1347" i="1"/>
  <c r="B1346" i="1"/>
  <c r="A1346" i="1"/>
  <c r="B1345" i="1"/>
  <c r="A1345" i="1"/>
  <c r="B1344" i="1"/>
  <c r="A1344" i="1"/>
  <c r="B1343" i="1"/>
  <c r="A1343" i="1"/>
  <c r="B1342" i="1"/>
  <c r="A1342" i="1"/>
  <c r="B1341" i="1"/>
  <c r="A1341" i="1"/>
  <c r="B1340" i="1"/>
  <c r="A1340" i="1"/>
  <c r="B1339" i="1"/>
  <c r="A1339" i="1"/>
  <c r="B1338" i="1"/>
  <c r="A1338" i="1"/>
  <c r="B1337" i="1"/>
  <c r="A1337" i="1"/>
  <c r="B1336" i="1"/>
  <c r="A1336" i="1"/>
  <c r="B1335" i="1"/>
  <c r="A1335" i="1"/>
  <c r="B1334" i="1"/>
  <c r="A1334" i="1"/>
  <c r="B1333" i="1"/>
  <c r="A1333" i="1"/>
  <c r="B1332" i="1"/>
  <c r="A1332" i="1"/>
  <c r="B1331" i="1"/>
  <c r="A1331" i="1"/>
  <c r="B1330" i="1"/>
  <c r="A1330" i="1"/>
  <c r="B1329" i="1"/>
  <c r="A1329" i="1"/>
  <c r="B1328" i="1"/>
  <c r="A1328" i="1"/>
  <c r="B1327" i="1"/>
  <c r="A1327" i="1"/>
  <c r="B1326" i="1"/>
  <c r="A1326" i="1"/>
  <c r="B1325" i="1"/>
  <c r="A1325" i="1"/>
  <c r="B1324" i="1"/>
  <c r="A1324" i="1"/>
  <c r="B1323" i="1"/>
  <c r="A1323" i="1"/>
  <c r="B1322" i="1"/>
  <c r="A1322" i="1"/>
  <c r="B1321" i="1"/>
  <c r="A1321" i="1"/>
  <c r="B1320" i="1"/>
  <c r="A1320" i="1"/>
  <c r="B1319" i="1"/>
  <c r="A1319" i="1"/>
  <c r="B1318" i="1"/>
  <c r="A1318" i="1"/>
  <c r="B1317" i="1"/>
  <c r="A1317" i="1"/>
  <c r="B1316" i="1"/>
  <c r="A1316" i="1"/>
  <c r="B1315" i="1"/>
  <c r="A1315" i="1"/>
  <c r="B1314" i="1"/>
  <c r="A1314" i="1"/>
  <c r="B1313" i="1"/>
  <c r="A1313" i="1"/>
  <c r="B1312" i="1"/>
  <c r="A1312" i="1"/>
  <c r="B1311" i="1"/>
  <c r="A1311" i="1"/>
  <c r="B1310" i="1"/>
  <c r="A1310" i="1"/>
  <c r="B1309" i="1"/>
  <c r="A1309" i="1"/>
  <c r="B1308" i="1"/>
  <c r="A1308" i="1"/>
  <c r="B1307" i="1"/>
  <c r="A1307" i="1"/>
  <c r="B1306" i="1"/>
  <c r="A1306" i="1"/>
  <c r="B1305" i="1"/>
  <c r="A1305" i="1"/>
  <c r="B1304" i="1"/>
  <c r="A1304" i="1"/>
  <c r="B1303" i="1"/>
  <c r="A1303" i="1"/>
  <c r="B1302" i="1"/>
  <c r="A1302" i="1"/>
  <c r="B1301" i="1"/>
  <c r="A1301" i="1"/>
  <c r="B1300" i="1"/>
  <c r="A1300" i="1"/>
  <c r="B1299" i="1"/>
  <c r="A1299" i="1"/>
  <c r="B1298" i="1"/>
  <c r="A1298" i="1"/>
  <c r="B1297" i="1"/>
  <c r="A1297" i="1"/>
  <c r="B1296" i="1"/>
  <c r="A1296" i="1"/>
  <c r="B1295" i="1"/>
  <c r="A1295" i="1"/>
  <c r="B1294" i="1"/>
  <c r="A1294" i="1"/>
  <c r="B1293" i="1"/>
  <c r="A1293" i="1"/>
  <c r="B1292" i="1"/>
  <c r="A1292" i="1"/>
  <c r="B1291" i="1"/>
  <c r="A1291" i="1"/>
  <c r="B1290" i="1"/>
  <c r="A1290" i="1"/>
  <c r="B1289" i="1"/>
  <c r="A1289" i="1"/>
  <c r="B1288" i="1"/>
  <c r="A1288" i="1"/>
  <c r="B1287" i="1"/>
  <c r="A1287" i="1"/>
  <c r="B1286" i="1"/>
  <c r="A1286" i="1"/>
  <c r="B1285" i="1"/>
  <c r="A1285" i="1"/>
  <c r="B1284" i="1"/>
  <c r="A1284" i="1"/>
  <c r="B1283" i="1"/>
  <c r="A1283" i="1"/>
  <c r="B1282" i="1"/>
  <c r="A1282" i="1"/>
  <c r="B1281" i="1"/>
  <c r="A1281" i="1"/>
  <c r="B1280" i="1"/>
  <c r="A1280" i="1"/>
  <c r="B1279" i="1"/>
  <c r="A1279" i="1"/>
  <c r="B1278" i="1"/>
  <c r="A1278" i="1"/>
  <c r="B1277" i="1"/>
  <c r="A1277" i="1"/>
  <c r="B1276" i="1"/>
  <c r="A1276" i="1"/>
  <c r="B1275" i="1"/>
  <c r="A1275" i="1"/>
  <c r="B1274" i="1"/>
  <c r="A1274" i="1"/>
  <c r="B1273" i="1"/>
  <c r="A1273" i="1"/>
  <c r="B1272" i="1"/>
  <c r="A1272" i="1"/>
  <c r="B1271" i="1"/>
  <c r="A1271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53" i="1"/>
  <c r="A1253" i="1"/>
  <c r="B1252" i="1"/>
  <c r="A1252" i="1"/>
  <c r="B1251" i="1"/>
  <c r="A1251" i="1"/>
  <c r="B1250" i="1"/>
  <c r="A1250" i="1"/>
  <c r="B1249" i="1"/>
  <c r="A1249" i="1"/>
  <c r="B1248" i="1"/>
  <c r="A1248" i="1"/>
  <c r="B1247" i="1"/>
  <c r="A1247" i="1"/>
  <c r="B1246" i="1"/>
  <c r="A1246" i="1"/>
  <c r="B1245" i="1"/>
  <c r="A1245" i="1"/>
  <c r="B1244" i="1"/>
  <c r="A1244" i="1"/>
  <c r="B1243" i="1"/>
  <c r="A1243" i="1"/>
  <c r="B1242" i="1"/>
  <c r="A1242" i="1"/>
  <c r="B1241" i="1"/>
  <c r="A1241" i="1"/>
  <c r="B1240" i="1"/>
  <c r="A1240" i="1"/>
  <c r="B1239" i="1"/>
  <c r="A1239" i="1"/>
  <c r="B1238" i="1"/>
  <c r="A1238" i="1"/>
  <c r="B1237" i="1"/>
  <c r="A1237" i="1"/>
  <c r="B1236" i="1"/>
  <c r="A1236" i="1"/>
  <c r="B1235" i="1"/>
  <c r="A1235" i="1"/>
  <c r="B1234" i="1"/>
  <c r="A1234" i="1"/>
  <c r="B1233" i="1"/>
  <c r="A1233" i="1"/>
  <c r="B1232" i="1"/>
  <c r="A1232" i="1"/>
  <c r="B1231" i="1"/>
  <c r="A1231" i="1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172" i="1"/>
  <c r="A1172" i="1"/>
  <c r="B1171" i="1"/>
  <c r="A1171" i="1"/>
  <c r="B1170" i="1"/>
  <c r="A1170" i="1"/>
  <c r="B1169" i="1"/>
  <c r="A1169" i="1"/>
  <c r="B1168" i="1"/>
  <c r="A1168" i="1"/>
  <c r="B1167" i="1"/>
  <c r="A1167" i="1"/>
  <c r="B1166" i="1"/>
  <c r="A1166" i="1"/>
  <c r="B1165" i="1"/>
  <c r="A1165" i="1"/>
  <c r="B1164" i="1"/>
  <c r="A1164" i="1"/>
  <c r="B1163" i="1"/>
  <c r="A1163" i="1"/>
  <c r="B1162" i="1"/>
  <c r="A1162" i="1"/>
  <c r="B1161" i="1"/>
  <c r="A1161" i="1"/>
  <c r="B1160" i="1"/>
  <c r="A1160" i="1"/>
  <c r="B1159" i="1"/>
  <c r="A1159" i="1"/>
  <c r="B1158" i="1"/>
  <c r="A1158" i="1"/>
  <c r="B1157" i="1"/>
  <c r="A1157" i="1"/>
  <c r="B1156" i="1"/>
  <c r="A1156" i="1"/>
  <c r="B1155" i="1"/>
  <c r="A1155" i="1"/>
  <c r="B1154" i="1"/>
  <c r="A1154" i="1"/>
  <c r="B1153" i="1"/>
  <c r="A1153" i="1"/>
  <c r="B1152" i="1"/>
  <c r="A1152" i="1"/>
  <c r="B1151" i="1"/>
  <c r="A1151" i="1"/>
  <c r="B1150" i="1"/>
  <c r="A1150" i="1"/>
  <c r="B1149" i="1"/>
  <c r="A1149" i="1"/>
  <c r="B1148" i="1"/>
  <c r="A1148" i="1"/>
  <c r="B1147" i="1"/>
  <c r="A1147" i="1"/>
  <c r="B1146" i="1"/>
  <c r="A1146" i="1"/>
  <c r="B1145" i="1"/>
  <c r="A1145" i="1"/>
  <c r="B1144" i="1"/>
  <c r="A1144" i="1"/>
  <c r="B1143" i="1"/>
  <c r="A1143" i="1"/>
  <c r="B1142" i="1"/>
  <c r="A1142" i="1"/>
  <c r="B1141" i="1"/>
  <c r="A1141" i="1"/>
  <c r="B1140" i="1"/>
  <c r="A1140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B1122" i="1"/>
  <c r="A1122" i="1"/>
  <c r="B1121" i="1"/>
  <c r="A1121" i="1"/>
  <c r="B1120" i="1"/>
  <c r="A1120" i="1"/>
  <c r="B1119" i="1"/>
  <c r="A1119" i="1"/>
  <c r="B1118" i="1"/>
  <c r="A1118" i="1"/>
  <c r="B1117" i="1"/>
  <c r="A1117" i="1"/>
  <c r="B1116" i="1"/>
  <c r="A1116" i="1"/>
  <c r="B1115" i="1"/>
  <c r="A1115" i="1"/>
  <c r="B1114" i="1"/>
  <c r="A1114" i="1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<sst xmlns="http://schemas.openxmlformats.org/spreadsheetml/2006/main" count="15" uniqueCount="15">
  <si>
    <t>Código</t>
  </si>
  <si>
    <t>Artículo</t>
  </si>
  <si>
    <t>="ESPATULA ACERO N° 1 1/2" - MOTA"</t>
  </si>
  <si>
    <t>="ESPATULA ACERO N° 2" HE20 - MOTA"</t>
  </si>
  <si>
    <t>="ESPATULA ACERO N° 2 1/2" - MOTA"</t>
  </si>
  <si>
    <t>="ESPATULA ACERO N° 3" - MOTA"</t>
  </si>
  <si>
    <t>="ESPATULA ACERO N° 4" HE40 - MOTA"</t>
  </si>
  <si>
    <t>="ESPATULA ACERO N° 5" HE50 - MOTA"</t>
  </si>
  <si>
    <t>="ESPATULA ACERO N° 6" - MOTA"</t>
  </si>
  <si>
    <t>="ESPATULA SINTEPLAST 6" - SINTEPLAST"</t>
  </si>
  <si>
    <t>="PAÑO DE GOMA ESPUMA NEGRO 3" - ZEOCAR"</t>
  </si>
  <si>
    <t>="SOPORTE P/BOINA ESPUMA 7" - FARBEN"</t>
  </si>
  <si>
    <t>="PAÑO DE GOMA ESPUMA NARANJA 3" - ZEOCAR"</t>
  </si>
  <si>
    <t>P. Venta sin Iva</t>
  </si>
  <si>
    <t>Precio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</si>
</sst>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47C8-B8C8-48F7-8907-EDAF6713070C}">
  <dimension ref="A1:D2334"/>
  <sheetViews>
    <sheetView tabSelected="1" workbookViewId="0">
      <selection activeCell="E7" sqref="E7"/>
    </sheetView>
  </sheetViews>
  <sheetFormatPr baseColWidth="10" defaultRowHeight="15" x14ac:dyDescent="0.25"/>
  <cols>
    <col min="3" max="3" width="14.42578125" hidden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t="s">
        <v>13</v>
      </c>
      <c r="D1" t="s">
        <v>14</v>
      </c>
    </row>
    <row r="2" spans="1:4" x14ac:dyDescent="0.25">
      <c r="A2" t="str">
        <f>"00001"</f>
        <v>00001</v>
      </c>
      <c r="B2" t="str">
        <f>"AEROSOL A. TEMPERATURA ALUMINIO X 240 CC - KUWAIT"</f>
        <v>AEROSOL A. TEMPERATURA ALUMINIO X 240 CC - KUWAIT</v>
      </c>
      <c r="C2">
        <v>7621.13</v>
      </c>
      <c r="D2">
        <v>9221.5673000000006</v>
      </c>
    </row>
    <row r="3" spans="1:4" x14ac:dyDescent="0.25">
      <c r="A3" t="str">
        <f>"00003"</f>
        <v>00003</v>
      </c>
      <c r="B3" t="str">
        <f>"AEROSOL GRIS ESPACIAL BRILLANTE X 240 CC - KUWAIT"</f>
        <v>AEROSOL GRIS ESPACIAL BRILLANTE X 240 CC - KUWAIT</v>
      </c>
      <c r="C3">
        <v>3682.53</v>
      </c>
      <c r="D3">
        <v>4455.8613000000005</v>
      </c>
    </row>
    <row r="4" spans="1:4" x14ac:dyDescent="0.25">
      <c r="A4" t="str">
        <f>"00004"</f>
        <v>00004</v>
      </c>
      <c r="B4" t="str">
        <f>"AEROSOL GRIS ESPACIAL BRILLANTE X 440 CC - KUWAIT"</f>
        <v>AEROSOL GRIS ESPACIAL BRILLANTE X 440 CC - KUWAIT</v>
      </c>
      <c r="C4">
        <v>6191.01</v>
      </c>
      <c r="D4">
        <v>7491.1220999999996</v>
      </c>
    </row>
    <row r="5" spans="1:4" x14ac:dyDescent="0.25">
      <c r="A5" t="str">
        <f>"00005"</f>
        <v>00005</v>
      </c>
      <c r="B5" t="str">
        <f>"AEROSOL MARFIL BRILLANTE X 240 CC - KUWAIT"</f>
        <v>AEROSOL MARFIL BRILLANTE X 240 CC - KUWAIT</v>
      </c>
      <c r="C5">
        <v>3682.53</v>
      </c>
      <c r="D5">
        <v>4455.8613000000005</v>
      </c>
    </row>
    <row r="6" spans="1:4" x14ac:dyDescent="0.25">
      <c r="A6" t="str">
        <f>"00006"</f>
        <v>00006</v>
      </c>
      <c r="B6" t="str">
        <f>"AEROSOL BLANCO BRILLANTE X 240 CC - KUWAIT"</f>
        <v>AEROSOL BLANCO BRILLANTE X 240 CC - KUWAIT</v>
      </c>
      <c r="C6">
        <v>3682.53</v>
      </c>
      <c r="D6">
        <v>4455.8613000000005</v>
      </c>
    </row>
    <row r="7" spans="1:4" x14ac:dyDescent="0.25">
      <c r="A7" t="str">
        <f>"00007"</f>
        <v>00007</v>
      </c>
      <c r="B7" t="str">
        <f>"AEROSOL BLANCO BRILLANTE X 440 CC - KUWAIT"</f>
        <v>AEROSOL BLANCO BRILLANTE X 440 CC - KUWAIT</v>
      </c>
      <c r="C7">
        <v>6181.61</v>
      </c>
      <c r="D7">
        <v>7479.7480999999998</v>
      </c>
    </row>
    <row r="8" spans="1:4" x14ac:dyDescent="0.25">
      <c r="A8" t="str">
        <f>"00010"</f>
        <v>00010</v>
      </c>
      <c r="B8" t="str">
        <f>"AEROSOL GRIS OSCURO BRILLANTE X 440 CC - KUWAIT"</f>
        <v>AEROSOL GRIS OSCURO BRILLANTE X 440 CC - KUWAIT</v>
      </c>
      <c r="C8">
        <v>6183.36</v>
      </c>
      <c r="D8">
        <v>7481.8655999999992</v>
      </c>
    </row>
    <row r="9" spans="1:4" x14ac:dyDescent="0.25">
      <c r="A9" t="str">
        <f>"00015"</f>
        <v>00015</v>
      </c>
      <c r="B9" t="str">
        <f>"ALABASTINE FONDO 123 3,6 L - ALBA"</f>
        <v>ALABASTINE FONDO 123 3,6 L - ALBA</v>
      </c>
      <c r="C9">
        <v>68136.929999999993</v>
      </c>
      <c r="D9">
        <v>82445.685299999983</v>
      </c>
    </row>
    <row r="10" spans="1:4" x14ac:dyDescent="0.25">
      <c r="A10" t="str">
        <f>"00016"</f>
        <v>00016</v>
      </c>
      <c r="B10" t="str">
        <f>"ALABASTINE FONDO 123 900 ML - ALBA"</f>
        <v>ALABASTINE FONDO 123 900 ML - ALBA</v>
      </c>
      <c r="C10">
        <v>20964.97</v>
      </c>
      <c r="D10">
        <v>25367.613700000002</v>
      </c>
    </row>
    <row r="11" spans="1:4" x14ac:dyDescent="0.25">
      <c r="A11" t="str">
        <f>"00017"</f>
        <v>00017</v>
      </c>
      <c r="B11" t="str">
        <f>"ALABASTINE LIJA LÍQUIDA - 500 ML - ALBA"</f>
        <v>ALABASTINE LIJA LÍQUIDA - 500 ML - ALBA</v>
      </c>
      <c r="C11">
        <v>13132.54</v>
      </c>
      <c r="D11">
        <v>15890.3734</v>
      </c>
    </row>
    <row r="12" spans="1:4" x14ac:dyDescent="0.25">
      <c r="A12" t="str">
        <f>"00018"</f>
        <v>00018</v>
      </c>
      <c r="B12" t="str">
        <f>"ALABASTINE NIVELA MADERA - 400 GR - ALBA"</f>
        <v>ALABASTINE NIVELA MADERA - 400 GR - ALBA</v>
      </c>
      <c r="C12">
        <v>7857.91</v>
      </c>
      <c r="D12">
        <v>9508.0710999999992</v>
      </c>
    </row>
    <row r="13" spans="1:4" x14ac:dyDescent="0.25">
      <c r="A13" t="str">
        <f>"00020"</f>
        <v>00020</v>
      </c>
      <c r="B13" t="str">
        <f>"ALABASTINE REMOVEDOR GEL 3,6 L - ALBA"</f>
        <v>ALABASTINE REMOVEDOR GEL 3,6 L - ALBA</v>
      </c>
      <c r="C13">
        <v>56240.75</v>
      </c>
      <c r="D13">
        <v>68051.307499999995</v>
      </c>
    </row>
    <row r="14" spans="1:4" x14ac:dyDescent="0.25">
      <c r="A14" t="str">
        <f>"00021"</f>
        <v>00021</v>
      </c>
      <c r="B14" t="str">
        <f>"ALABASTINE REPARA MAD BLANCO - 75 GR - ALBA"</f>
        <v>ALABASTINE REPARA MAD BLANCO - 75 GR - ALBA</v>
      </c>
      <c r="C14">
        <v>3796.43</v>
      </c>
      <c r="D14">
        <v>4593.6803</v>
      </c>
    </row>
    <row r="15" spans="1:4" x14ac:dyDescent="0.25">
      <c r="A15" t="str">
        <f>"00023"</f>
        <v>00023</v>
      </c>
      <c r="B15" t="str">
        <f>"ALABASTINE REPARA MAD HAYA - 75 GR - ALBA"</f>
        <v>ALABASTINE REPARA MAD HAYA - 75 GR - ALBA</v>
      </c>
      <c r="C15">
        <v>3796.43</v>
      </c>
      <c r="D15">
        <v>4593.6803</v>
      </c>
    </row>
    <row r="16" spans="1:4" x14ac:dyDescent="0.25">
      <c r="A16" t="str">
        <f>"00025"</f>
        <v>00025</v>
      </c>
      <c r="B16" t="str">
        <f>"ALABASTINE REPARA MAD NATURAL - 75 GR - ALBA"</f>
        <v>ALABASTINE REPARA MAD NATURAL - 75 GR - ALBA</v>
      </c>
      <c r="C16">
        <v>3796.43</v>
      </c>
      <c r="D16">
        <v>4593.6803</v>
      </c>
    </row>
    <row r="17" spans="1:4" x14ac:dyDescent="0.25">
      <c r="A17" t="str">
        <f>"00026"</f>
        <v>00026</v>
      </c>
      <c r="B17" t="str">
        <f>"ALABASTINE REPARA MAD ROBLE - 75 GR - ALBA"</f>
        <v>ALABASTINE REPARA MAD ROBLE - 75 GR - ALBA</v>
      </c>
      <c r="C17">
        <v>3796.43</v>
      </c>
      <c r="D17">
        <v>4593.6803</v>
      </c>
    </row>
    <row r="18" spans="1:4" x14ac:dyDescent="0.25">
      <c r="A18" t="str">
        <f>"00027"</f>
        <v>00027</v>
      </c>
      <c r="B18" t="str">
        <f>"ALABASTINE REPARA MAD ROBLE OSCU - 75 GR - ALBA"</f>
        <v>ALABASTINE REPARA MAD ROBLE OSCU - 75 GR - ALBA</v>
      </c>
      <c r="C18">
        <v>3796.43</v>
      </c>
      <c r="D18">
        <v>4593.6803</v>
      </c>
    </row>
    <row r="19" spans="1:4" x14ac:dyDescent="0.25">
      <c r="A19" t="str">
        <f>"00029"</f>
        <v>00029</v>
      </c>
      <c r="B19" t="str">
        <f>"ALABASTINE REPARA PAREDES - 1 KG - ALBA"</f>
        <v>ALABASTINE REPARA PAREDES - 1 KG - ALBA</v>
      </c>
      <c r="C19">
        <v>12445.44</v>
      </c>
      <c r="D19">
        <v>15058.982400000001</v>
      </c>
    </row>
    <row r="20" spans="1:4" x14ac:dyDescent="0.25">
      <c r="A20" t="str">
        <f>"00030"</f>
        <v>00030</v>
      </c>
      <c r="B20" t="str">
        <f>"ALABASTINE REPARA PAREDES - 330 GR - ALBA"</f>
        <v>ALABASTINE REPARA PAREDES - 330 GR - ALBA</v>
      </c>
      <c r="C20">
        <v>6160.53</v>
      </c>
      <c r="D20">
        <v>7454.2412999999997</v>
      </c>
    </row>
    <row r="21" spans="1:4" x14ac:dyDescent="0.25">
      <c r="A21" t="str">
        <f>"00038"</f>
        <v>00038</v>
      </c>
      <c r="B21" t="str">
        <f>"ALBA ALTA TEMPERATURA ALUMINIO - 01 L - ALBA"</f>
        <v>ALBA ALTA TEMPERATURA ALUMINIO - 01 L - ALBA</v>
      </c>
      <c r="C21">
        <v>24634.99</v>
      </c>
      <c r="D21">
        <v>29808.337900000002</v>
      </c>
    </row>
    <row r="22" spans="1:4" x14ac:dyDescent="0.25">
      <c r="A22" t="str">
        <f>"00039"</f>
        <v>00039</v>
      </c>
      <c r="B22" t="str">
        <f>"ALBA ALTA TEMPERATURA ALUMINIO - 04 L - ALBA"</f>
        <v>ALBA ALTA TEMPERATURA ALUMINIO - 04 L - ALBA</v>
      </c>
      <c r="C22">
        <v>84948.66</v>
      </c>
      <c r="D22">
        <v>102787.8786</v>
      </c>
    </row>
    <row r="23" spans="1:4" x14ac:dyDescent="0.25">
      <c r="A23" t="str">
        <f>"00040"</f>
        <v>00040</v>
      </c>
      <c r="B23" t="str">
        <f>"ALBA ANTIOXIDO STANDARD -  500 ML - ALBA"</f>
        <v>ALBA ANTIOXIDO STANDARD -  500 ML - ALBA</v>
      </c>
      <c r="C23">
        <v>8670.42</v>
      </c>
      <c r="D23">
        <v>10491.208199999999</v>
      </c>
    </row>
    <row r="24" spans="1:4" x14ac:dyDescent="0.25">
      <c r="A24" t="str">
        <f>"00041"</f>
        <v>00041</v>
      </c>
      <c r="B24" t="str">
        <f>"ALBA ANTIOXIDO STANDARD - 01 L - ALBA"</f>
        <v>ALBA ANTIOXIDO STANDARD - 01 L - ALBA</v>
      </c>
      <c r="C24">
        <v>14791.19</v>
      </c>
      <c r="D24">
        <v>17897.339899999999</v>
      </c>
    </row>
    <row r="25" spans="1:4" x14ac:dyDescent="0.25">
      <c r="A25" t="str">
        <f>"00042"</f>
        <v>00042</v>
      </c>
      <c r="B25" t="str">
        <f>"ALBA ANTIOXIDO STANDARD - 04 L - ALBA"</f>
        <v>ALBA ANTIOXIDO STANDARD - 04 L - ALBA</v>
      </c>
      <c r="C25">
        <v>51003.040000000001</v>
      </c>
      <c r="D25">
        <v>61713.678399999997</v>
      </c>
    </row>
    <row r="26" spans="1:4" x14ac:dyDescent="0.25">
      <c r="A26" t="str">
        <f>"00047"</f>
        <v>00047</v>
      </c>
      <c r="B26" t="str">
        <f>"ALBA CIELOS RASOS STANDAR BLANCO - 01 L - ALBA"</f>
        <v>ALBA CIELOS RASOS STANDAR BLANCO - 01 L - ALBA</v>
      </c>
      <c r="C26">
        <v>7470.52</v>
      </c>
      <c r="D26">
        <v>9039.3292000000001</v>
      </c>
    </row>
    <row r="27" spans="1:4" x14ac:dyDescent="0.25">
      <c r="A27" t="str">
        <f>"00048"</f>
        <v>00048</v>
      </c>
      <c r="B27" t="str">
        <f>"ALBA CIELOS RASOS STANDAR BLANCO - 04 L - ALBA"</f>
        <v>ALBA CIELOS RASOS STANDAR BLANCO - 04 L - ALBA</v>
      </c>
      <c r="C27">
        <v>24281.24</v>
      </c>
      <c r="D27">
        <v>29380.3004</v>
      </c>
    </row>
    <row r="28" spans="1:4" x14ac:dyDescent="0.25">
      <c r="A28" t="str">
        <f>"00049"</f>
        <v>00049</v>
      </c>
      <c r="B28" t="str">
        <f>"ALBA CIELOS RASOS STANDAR BLANCO - 10 L - ALBA"</f>
        <v>ALBA CIELOS RASOS STANDAR BLANCO - 10 L - ALBA</v>
      </c>
      <c r="C28">
        <v>52296.72</v>
      </c>
      <c r="D28">
        <v>63279.031199999998</v>
      </c>
    </row>
    <row r="29" spans="1:4" x14ac:dyDescent="0.25">
      <c r="A29" t="str">
        <f>"00050"</f>
        <v>00050</v>
      </c>
      <c r="B29" t="str">
        <f>"ALBA CIELOS RASOS STANDAR BLANCO - 20 L - ALBA"</f>
        <v>ALBA CIELOS RASOS STANDAR BLANCO - 20 L - ALBA</v>
      </c>
      <c r="C29">
        <v>93387.66</v>
      </c>
      <c r="D29">
        <v>112999.0686</v>
      </c>
    </row>
    <row r="30" spans="1:4" x14ac:dyDescent="0.25">
      <c r="A30" t="str">
        <f>"00051"</f>
        <v>00051</v>
      </c>
      <c r="B30" t="str">
        <f>"ALBA CONVERT DE OXIDO BLANCO - 01 L - ALBA"</f>
        <v>ALBA CONVERT DE OXIDO BLANCO - 01 L - ALBA</v>
      </c>
      <c r="C30">
        <v>18488.73</v>
      </c>
      <c r="D30">
        <v>22371.363299999997</v>
      </c>
    </row>
    <row r="31" spans="1:4" x14ac:dyDescent="0.25">
      <c r="A31" t="str">
        <f>"00052"</f>
        <v>00052</v>
      </c>
      <c r="B31" t="str">
        <f>"ALBA CONVERT DE OXIDO BLANCO - 04 L - ALBA"</f>
        <v>ALBA CONVERT DE OXIDO BLANCO - 04 L - ALBA</v>
      </c>
      <c r="C31">
        <v>63754.31</v>
      </c>
      <c r="D31">
        <v>77142.715100000001</v>
      </c>
    </row>
    <row r="32" spans="1:4" x14ac:dyDescent="0.25">
      <c r="A32" t="str">
        <f>"00053"</f>
        <v>00053</v>
      </c>
      <c r="B32" t="str">
        <f>"ALBA CONVERT DE OXIDO GRIS - 01 L - ALBA"</f>
        <v>ALBA CONVERT DE OXIDO GRIS - 01 L - ALBA</v>
      </c>
      <c r="C32">
        <v>18488.73</v>
      </c>
      <c r="D32">
        <v>22371.363299999997</v>
      </c>
    </row>
    <row r="33" spans="1:4" x14ac:dyDescent="0.25">
      <c r="A33" t="str">
        <f>"00054"</f>
        <v>00054</v>
      </c>
      <c r="B33" t="str">
        <f>"ALBA CONVERT DE OXIDO GRIS - 04 L - ALBA"</f>
        <v>ALBA CONVERT DE OXIDO GRIS - 04 L - ALBA</v>
      </c>
      <c r="C33">
        <v>63754.31</v>
      </c>
      <c r="D33">
        <v>77142.715100000001</v>
      </c>
    </row>
    <row r="34" spans="1:4" x14ac:dyDescent="0.25">
      <c r="A34" t="str">
        <f>"00055"</f>
        <v>00055</v>
      </c>
      <c r="B34" t="str">
        <f>"ALBA CONVERT DE OXIDO NEGRO - 01 L - ALBA"</f>
        <v>ALBA CONVERT DE OXIDO NEGRO - 01 L - ALBA</v>
      </c>
      <c r="C34">
        <v>18488.73</v>
      </c>
      <c r="D34">
        <v>22371.363299999997</v>
      </c>
    </row>
    <row r="35" spans="1:4" x14ac:dyDescent="0.25">
      <c r="A35" t="str">
        <f>"00056"</f>
        <v>00056</v>
      </c>
      <c r="B35" t="str">
        <f>"ALBA CONVERT DE OXIDO NEGRO - 04 L - ALBA"</f>
        <v>ALBA CONVERT DE OXIDO NEGRO - 04 L - ALBA</v>
      </c>
      <c r="C35">
        <v>63754.31</v>
      </c>
      <c r="D35">
        <v>77142.715100000001</v>
      </c>
    </row>
    <row r="36" spans="1:4" x14ac:dyDescent="0.25">
      <c r="A36" t="str">
        <f>"00057"</f>
        <v>00057</v>
      </c>
      <c r="B36" t="str">
        <f>"ALBA ENDUIDO EXT PREMIUM - 01 L - ALBA"</f>
        <v>ALBA ENDUIDO EXT PREMIUM - 01 L - ALBA</v>
      </c>
      <c r="C36">
        <v>7640.77</v>
      </c>
      <c r="D36">
        <v>9245.3317000000006</v>
      </c>
    </row>
    <row r="37" spans="1:4" x14ac:dyDescent="0.25">
      <c r="A37" t="str">
        <f>"00058"</f>
        <v>00058</v>
      </c>
      <c r="B37" t="str">
        <f>"ALBA ENDUIDO EXT PREMIUM - 04 L - ALBA"</f>
        <v>ALBA ENDUIDO EXT PREMIUM - 04 L - ALBA</v>
      </c>
      <c r="C37">
        <v>22073.11</v>
      </c>
      <c r="D37">
        <v>26708.463100000001</v>
      </c>
    </row>
    <row r="38" spans="1:4" x14ac:dyDescent="0.25">
      <c r="A38" t="str">
        <f>"00059"</f>
        <v>00059</v>
      </c>
      <c r="B38" t="str">
        <f>"ALBA ENDUIDO EXT PREMIUM - 10 L - ALBA"</f>
        <v>ALBA ENDUIDO EXT PREMIUM - 10 L - ALBA</v>
      </c>
      <c r="C38">
        <v>46692.81</v>
      </c>
      <c r="D38">
        <v>56498.300099999993</v>
      </c>
    </row>
    <row r="39" spans="1:4" x14ac:dyDescent="0.25">
      <c r="A39" t="str">
        <f>"00060"</f>
        <v>00060</v>
      </c>
      <c r="B39" t="str">
        <f>"ALBA ENDUIDO EXT PREMIUM - 20 L - ALBA"</f>
        <v>ALBA ENDUIDO EXT PREMIUM - 20 L - ALBA</v>
      </c>
      <c r="C39">
        <v>84895.65</v>
      </c>
      <c r="D39">
        <v>102723.73649999998</v>
      </c>
    </row>
    <row r="40" spans="1:4" x14ac:dyDescent="0.25">
      <c r="A40" t="str">
        <f>"00061"</f>
        <v>00061</v>
      </c>
      <c r="B40" t="str">
        <f>"ALBA ENDUIDO + MASILLA - 01 L - ALBA"</f>
        <v>ALBA ENDUIDO + MASILLA - 01 L - ALBA</v>
      </c>
      <c r="C40">
        <v>4521.26</v>
      </c>
      <c r="D40">
        <v>5470.7246000000005</v>
      </c>
    </row>
    <row r="41" spans="1:4" x14ac:dyDescent="0.25">
      <c r="A41" t="str">
        <f>"00062"</f>
        <v>00062</v>
      </c>
      <c r="B41" t="str">
        <f>"ALBA ENDUIDO + MASILLA - 04 L - ALBA"</f>
        <v>ALBA ENDUIDO + MASILLA - 04 L - ALBA</v>
      </c>
      <c r="C41">
        <v>13063.22</v>
      </c>
      <c r="D41">
        <v>15806.4962</v>
      </c>
    </row>
    <row r="42" spans="1:4" x14ac:dyDescent="0.25">
      <c r="A42" t="str">
        <f>"00063"</f>
        <v>00063</v>
      </c>
      <c r="B42" t="str">
        <f>"ALBA ENDUIDO + MASILLA - 10 L - ALBA"</f>
        <v>ALBA ENDUIDO + MASILLA - 10 L - ALBA</v>
      </c>
      <c r="C42">
        <v>27633.19</v>
      </c>
      <c r="D42">
        <v>33436.159899999999</v>
      </c>
    </row>
    <row r="43" spans="1:4" x14ac:dyDescent="0.25">
      <c r="A43" t="str">
        <f>"00064"</f>
        <v>00064</v>
      </c>
      <c r="B43" t="str">
        <f>"ALBA ENDUIDO + MASILLA - 20 L - ALBA"</f>
        <v>ALBA ENDUIDO + MASILLA - 20 L - ALBA</v>
      </c>
      <c r="C43">
        <v>50241.51</v>
      </c>
      <c r="D43">
        <v>60792.227100000004</v>
      </c>
    </row>
    <row r="44" spans="1:4" x14ac:dyDescent="0.25">
      <c r="A44" t="str">
        <f>"00065"</f>
        <v>00065</v>
      </c>
      <c r="B44" t="str">
        <f>"ALBA ENDUIDO INT/EXT STANDARD - 01,5 KG - ALBA"</f>
        <v>ALBA ENDUIDO INT/EXT STANDARD - 01,5 KG - ALBA</v>
      </c>
      <c r="C44">
        <v>5423.47</v>
      </c>
      <c r="D44">
        <v>6562.3986999999997</v>
      </c>
    </row>
    <row r="45" spans="1:4" x14ac:dyDescent="0.25">
      <c r="A45" t="str">
        <f>"00066"</f>
        <v>00066</v>
      </c>
      <c r="B45" t="str">
        <f>"ALBA ENDUIDO INT/EXT STANDARD - 06 KG - ALBA"</f>
        <v>ALBA ENDUIDO INT/EXT STANDARD - 06 KG - ALBA</v>
      </c>
      <c r="C45">
        <v>15668.93</v>
      </c>
      <c r="D45">
        <v>18959.405299999999</v>
      </c>
    </row>
    <row r="46" spans="1:4" x14ac:dyDescent="0.25">
      <c r="A46" t="str">
        <f>"00067"</f>
        <v>00067</v>
      </c>
      <c r="B46" t="str">
        <f>"ALBA ENDUIDO INT/EXT STANDARD - 16 KG - ALBA"</f>
        <v>ALBA ENDUIDO INT/EXT STANDARD - 16 KG - ALBA</v>
      </c>
      <c r="C46">
        <v>33146.370000000003</v>
      </c>
      <c r="D46">
        <v>40107.1077</v>
      </c>
    </row>
    <row r="47" spans="1:4" x14ac:dyDescent="0.25">
      <c r="A47" t="str">
        <f>"00068"</f>
        <v>00068</v>
      </c>
      <c r="B47" t="str">
        <f>"ALBA ENDUIDO INT/EXT STANDARD - 30 KG - ALBA"</f>
        <v>ALBA ENDUIDO INT/EXT STANDARD - 30 KG - ALBA</v>
      </c>
      <c r="C47">
        <v>60265.760000000002</v>
      </c>
      <c r="D47">
        <v>72921.569600000003</v>
      </c>
    </row>
    <row r="48" spans="1:4" x14ac:dyDescent="0.25">
      <c r="A48" t="str">
        <f>"00069"</f>
        <v>00069</v>
      </c>
      <c r="B48" t="str">
        <f>"ALBA ESM BRI DOBLE ACC AMARILLO - 01 L - ALBA"</f>
        <v>ALBA ESM BRI DOBLE ACC AMARILLO - 01 L - ALBA</v>
      </c>
      <c r="C48">
        <v>14867.65</v>
      </c>
      <c r="D48">
        <v>17989.856499999998</v>
      </c>
    </row>
    <row r="49" spans="1:4" x14ac:dyDescent="0.25">
      <c r="A49" t="str">
        <f>"00070"</f>
        <v>00070</v>
      </c>
      <c r="B49" t="str">
        <f>"ALBA ESM BRI DOBLE ACC AMARILLO - 04 L - ALBA"</f>
        <v>ALBA ESM BRI DOBLE ACC AMARILLO - 04 L - ALBA</v>
      </c>
      <c r="C49">
        <v>51269.120000000003</v>
      </c>
      <c r="D49">
        <v>62035.635200000004</v>
      </c>
    </row>
    <row r="50" spans="1:4" x14ac:dyDescent="0.25">
      <c r="A50" t="str">
        <f>"00071"</f>
        <v>00071</v>
      </c>
      <c r="B50" t="str">
        <f>"ALBA ESM BRI DOBLE ACC AZUL MARINO- 01 L - ALBA"</f>
        <v>ALBA ESM BRI DOBLE ACC AZUL MARINO- 01 L - ALBA</v>
      </c>
      <c r="C50">
        <v>11894.93</v>
      </c>
      <c r="D50">
        <v>14392.865299999999</v>
      </c>
    </row>
    <row r="51" spans="1:4" x14ac:dyDescent="0.25">
      <c r="A51" t="str">
        <f>"00072"</f>
        <v>00072</v>
      </c>
      <c r="B51" t="str">
        <f>"ALBA ESM BRI DOBLE ACC AZUL MARINO- 04 L - ALBA"</f>
        <v>ALBA ESM BRI DOBLE ACC AZUL MARINO- 04 L - ALBA</v>
      </c>
      <c r="C51">
        <v>41015.5</v>
      </c>
      <c r="D51">
        <v>49628.754999999997</v>
      </c>
    </row>
    <row r="52" spans="1:4" x14ac:dyDescent="0.25">
      <c r="A52" t="str">
        <f>"00073"</f>
        <v>00073</v>
      </c>
      <c r="B52" t="str">
        <f>"ALBA ESM BRI DOBLE ACC AZULEJO - 01 L - ALBA"</f>
        <v>ALBA ESM BRI DOBLE ACC AZULEJO - 01 L - ALBA</v>
      </c>
      <c r="C52">
        <v>11894.93</v>
      </c>
      <c r="D52">
        <v>14392.865299999999</v>
      </c>
    </row>
    <row r="53" spans="1:4" x14ac:dyDescent="0.25">
      <c r="A53" t="str">
        <f>"00074"</f>
        <v>00074</v>
      </c>
      <c r="B53" t="str">
        <f>"ALBA ESM BRI DOBLE ACC AZULEJO - 04 L - ALBA"</f>
        <v>ALBA ESM BRI DOBLE ACC AZULEJO - 04 L - ALBA</v>
      </c>
      <c r="C53">
        <v>41015.5</v>
      </c>
      <c r="D53">
        <v>49628.754999999997</v>
      </c>
    </row>
    <row r="54" spans="1:4" x14ac:dyDescent="0.25">
      <c r="A54" t="str">
        <f>"00075"</f>
        <v>00075</v>
      </c>
      <c r="B54" t="str">
        <f>"ALBA ESM BRI DOBLE ACC BERMELLON - 01 L - ALBA"</f>
        <v>ALBA ESM BRI DOBLE ACC BERMELLON - 01 L - ALBA</v>
      </c>
      <c r="C54">
        <v>14867.65</v>
      </c>
      <c r="D54">
        <v>17989.856499999998</v>
      </c>
    </row>
    <row r="55" spans="1:4" x14ac:dyDescent="0.25">
      <c r="A55" t="str">
        <f>"00076"</f>
        <v>00076</v>
      </c>
      <c r="B55" t="str">
        <f>"ALBA ESM BRI DOBLE ACC BERMELLON - 04 L - ALBA"</f>
        <v>ALBA ESM BRI DOBLE ACC BERMELLON - 04 L - ALBA</v>
      </c>
      <c r="C55">
        <v>51269.120000000003</v>
      </c>
      <c r="D55">
        <v>62035.635200000004</v>
      </c>
    </row>
    <row r="56" spans="1:4" x14ac:dyDescent="0.25">
      <c r="A56" t="str">
        <f>"00077"</f>
        <v>00077</v>
      </c>
      <c r="B56" t="str">
        <f>"ALBA ESM BRI DOBLE ACC BLANCO - 01 L - ALBA"</f>
        <v>ALBA ESM BRI DOBLE ACC BLANCO - 01 L - ALBA</v>
      </c>
      <c r="C56">
        <v>11894.93</v>
      </c>
      <c r="D56">
        <v>14392.865299999999</v>
      </c>
    </row>
    <row r="57" spans="1:4" x14ac:dyDescent="0.25">
      <c r="A57" t="str">
        <f>"00078"</f>
        <v>00078</v>
      </c>
      <c r="B57" t="str">
        <f>"ALBA ESM BRI DOBLE ACC BLANCO - 04 L - ALBA"</f>
        <v>ALBA ESM BRI DOBLE ACC BLANCO - 04 L - ALBA</v>
      </c>
      <c r="C57">
        <v>41015.5</v>
      </c>
      <c r="D57">
        <v>49628.754999999997</v>
      </c>
    </row>
    <row r="58" spans="1:4" x14ac:dyDescent="0.25">
      <c r="A58" t="str">
        <f>"00079"</f>
        <v>00079</v>
      </c>
      <c r="B58" t="str">
        <f>"ALBA ESM BRI DOBLE ACC BLANCO - 20 L - ALBA"</f>
        <v>ALBA ESM BRI DOBLE ACC BLANCO - 20 L - ALBA</v>
      </c>
      <c r="C58">
        <v>184570.26</v>
      </c>
      <c r="D58">
        <v>223330.01459999999</v>
      </c>
    </row>
    <row r="59" spans="1:4" x14ac:dyDescent="0.25">
      <c r="A59" t="str">
        <f>"00080"</f>
        <v>00080</v>
      </c>
      <c r="B59" t="str">
        <f>"ALBA ESM BRI DOBLE ACC CHOCOLATE - 01 L - ALBA"</f>
        <v>ALBA ESM BRI DOBLE ACC CHOCOLATE - 01 L - ALBA</v>
      </c>
      <c r="C59">
        <v>10109.879999999999</v>
      </c>
      <c r="D59">
        <v>12232.9548</v>
      </c>
    </row>
    <row r="60" spans="1:4" x14ac:dyDescent="0.25">
      <c r="A60" t="str">
        <f>"00081"</f>
        <v>00081</v>
      </c>
      <c r="B60" t="str">
        <f>"ALBA ESM BRI DOBLE ACC CHOCOLATE - 04 L - ALBA"</f>
        <v>ALBA ESM BRI DOBLE ACC CHOCOLATE - 04 L - ALBA</v>
      </c>
      <c r="C60">
        <v>34863.120000000003</v>
      </c>
      <c r="D60">
        <v>42184.375200000002</v>
      </c>
    </row>
    <row r="61" spans="1:4" x14ac:dyDescent="0.25">
      <c r="A61" t="str">
        <f>"00082"</f>
        <v>00082</v>
      </c>
      <c r="B61" t="str">
        <f>"ALBA ESM BRI DOBLE ACC GRIS - 01 L - ALBA"</f>
        <v>ALBA ESM BRI DOBLE ACC GRIS - 01 L - ALBA</v>
      </c>
      <c r="C61">
        <v>10109.879999999999</v>
      </c>
      <c r="D61">
        <v>12232.9548</v>
      </c>
    </row>
    <row r="62" spans="1:4" x14ac:dyDescent="0.25">
      <c r="A62" t="str">
        <f>"00083"</f>
        <v>00083</v>
      </c>
      <c r="B62" t="str">
        <f>"ALBA ESM BRI DOBLE ACC GRIS - 04 L - ALBA"</f>
        <v>ALBA ESM BRI DOBLE ACC GRIS - 04 L - ALBA</v>
      </c>
      <c r="C62">
        <v>34863.120000000003</v>
      </c>
      <c r="D62">
        <v>42184.375200000002</v>
      </c>
    </row>
    <row r="63" spans="1:4" x14ac:dyDescent="0.25">
      <c r="A63" t="str">
        <f>"00084"</f>
        <v>00084</v>
      </c>
      <c r="B63" t="str">
        <f>"ALBA ESM BRI DOBLE ACC GRIS ESP - 01 L - ALBA"</f>
        <v>ALBA ESM BRI DOBLE ACC GRIS ESP - 01 L - ALBA</v>
      </c>
      <c r="C63">
        <v>11894.93</v>
      </c>
      <c r="D63">
        <v>14392.865299999999</v>
      </c>
    </row>
    <row r="64" spans="1:4" x14ac:dyDescent="0.25">
      <c r="A64" t="str">
        <f>"00085"</f>
        <v>00085</v>
      </c>
      <c r="B64" t="str">
        <f>"ALBA ESM BRI DOBLE ACC GRIS ESP - 04 L - ALBA"</f>
        <v>ALBA ESM BRI DOBLE ACC GRIS ESP - 04 L - ALBA</v>
      </c>
      <c r="C64">
        <v>41015.5</v>
      </c>
      <c r="D64">
        <v>49628.754999999997</v>
      </c>
    </row>
    <row r="65" spans="1:4" x14ac:dyDescent="0.25">
      <c r="A65" t="str">
        <f>"00086"</f>
        <v>00086</v>
      </c>
      <c r="B65" t="str">
        <f>"ALBA ESM BRI DOBLE ACC NARANJA - 01 L - ALBA"</f>
        <v>ALBA ESM BRI DOBLE ACC NARANJA - 01 L - ALBA</v>
      </c>
      <c r="C65">
        <v>14867.65</v>
      </c>
      <c r="D65">
        <v>17989.856499999998</v>
      </c>
    </row>
    <row r="66" spans="1:4" x14ac:dyDescent="0.25">
      <c r="A66" t="str">
        <f>"00087"</f>
        <v>00087</v>
      </c>
      <c r="B66" t="str">
        <f>"ALBA ESM BRI DOBLE ACC NARANJA - 04 L - ALBA"</f>
        <v>ALBA ESM BRI DOBLE ACC NARANJA - 04 L - ALBA</v>
      </c>
      <c r="C66">
        <v>51269.120000000003</v>
      </c>
      <c r="D66">
        <v>62035.635200000004</v>
      </c>
    </row>
    <row r="67" spans="1:4" x14ac:dyDescent="0.25">
      <c r="A67" t="str">
        <f>"00088"</f>
        <v>00088</v>
      </c>
      <c r="B67" t="str">
        <f>"ALBA ESM BRI DOBLE ACC NEGRO - 01 L - ALBA"</f>
        <v>ALBA ESM BRI DOBLE ACC NEGRO - 01 L - ALBA</v>
      </c>
      <c r="C67">
        <v>10109.879999999999</v>
      </c>
      <c r="D67">
        <v>12232.9548</v>
      </c>
    </row>
    <row r="68" spans="1:4" x14ac:dyDescent="0.25">
      <c r="A68" t="str">
        <f>"00089"</f>
        <v>00089</v>
      </c>
      <c r="B68" t="str">
        <f>"ALBA ESM BRI DOBLE ACC NEGRO - 04 L - ALBA"</f>
        <v>ALBA ESM BRI DOBLE ACC NEGRO - 04 L - ALBA</v>
      </c>
      <c r="C68">
        <v>34863.120000000003</v>
      </c>
      <c r="D68">
        <v>42184.375200000002</v>
      </c>
    </row>
    <row r="69" spans="1:4" x14ac:dyDescent="0.25">
      <c r="A69" t="str">
        <f>"00090"</f>
        <v>00090</v>
      </c>
      <c r="B69" t="str">
        <f>"ALBA ESM BRI DOBLE ACC VERDE INGL - 01 L - ALBA"</f>
        <v>ALBA ESM BRI DOBLE ACC VERDE INGL - 01 L - ALBA</v>
      </c>
      <c r="C69">
        <v>11894.93</v>
      </c>
      <c r="D69">
        <v>14392.865299999999</v>
      </c>
    </row>
    <row r="70" spans="1:4" x14ac:dyDescent="0.25">
      <c r="A70" t="str">
        <f>"00091"</f>
        <v>00091</v>
      </c>
      <c r="B70" t="str">
        <f>"ALBA ESM BRI DOBLE ACC VERDE INGL - 04 L - ALBA"</f>
        <v>ALBA ESM BRI DOBLE ACC VERDE INGL - 04 L - ALBA</v>
      </c>
      <c r="C70">
        <v>41015.5</v>
      </c>
      <c r="D70">
        <v>49628.754999999997</v>
      </c>
    </row>
    <row r="71" spans="1:4" x14ac:dyDescent="0.25">
      <c r="A71" t="str">
        <f>"00094"</f>
        <v>00094</v>
      </c>
      <c r="B71" t="str">
        <f>"ALBA ESM SATINADO BLANCO  - 01 L - ALBA"</f>
        <v>ALBA ESM SATINADO BLANCO  - 01 L - ALBA</v>
      </c>
      <c r="C71">
        <v>12969.43</v>
      </c>
      <c r="D71">
        <v>15693.0103</v>
      </c>
    </row>
    <row r="72" spans="1:4" x14ac:dyDescent="0.25">
      <c r="A72" t="str">
        <f>"00095"</f>
        <v>00095</v>
      </c>
      <c r="B72" t="str">
        <f>"ALBA ESM SATINADO BLANCO  - 04 L - ALBA"</f>
        <v>ALBA ESM SATINADO BLANCO  - 04 L - ALBA</v>
      </c>
      <c r="C72">
        <v>44723.24</v>
      </c>
      <c r="D72">
        <v>54115.120399999993</v>
      </c>
    </row>
    <row r="73" spans="1:4" x14ac:dyDescent="0.25">
      <c r="A73" t="str">
        <f>"00096"</f>
        <v>00096</v>
      </c>
      <c r="B73" t="str">
        <f>"ALBA ESM SATINADO BLANCO  - 20 L - ALBA"</f>
        <v>ALBA ESM SATINADO BLANCO  - 20 L - ALBA</v>
      </c>
      <c r="C73">
        <v>201254.56</v>
      </c>
      <c r="D73">
        <v>243518.01759999999</v>
      </c>
    </row>
    <row r="74" spans="1:4" x14ac:dyDescent="0.25">
      <c r="A74" t="str">
        <f>"00097"</f>
        <v>00097</v>
      </c>
      <c r="B74" t="str">
        <f>"ALBA FIJADOR 2 EN 1 ANTISALITRE - 01 L - ALBA"</f>
        <v>ALBA FIJADOR 2 EN 1 ANTISALITRE - 01 L - ALBA</v>
      </c>
      <c r="C74">
        <v>16420.27</v>
      </c>
      <c r="D74">
        <v>19868.526699999999</v>
      </c>
    </row>
    <row r="75" spans="1:4" x14ac:dyDescent="0.25">
      <c r="A75" t="str">
        <f>"00098"</f>
        <v>00098</v>
      </c>
      <c r="B75" t="str">
        <f>"ALBA FIJADOR 2 EN 1 ANTISALITRE - 04 L - ALBA"</f>
        <v>ALBA FIJADOR 2 EN 1 ANTISALITRE - 04 L - ALBA</v>
      </c>
      <c r="C75">
        <v>51311.94</v>
      </c>
      <c r="D75">
        <v>62087.447400000005</v>
      </c>
    </row>
    <row r="76" spans="1:4" x14ac:dyDescent="0.25">
      <c r="A76" t="str">
        <f>"00099"</f>
        <v>00099</v>
      </c>
      <c r="B76" t="str">
        <f>"ALBA FIJADOR 2 EN 1 ANTISALITRE - 20 L - ALBA"</f>
        <v>ALBA FIJADOR 2 EN 1 ANTISALITRE - 20 L - ALBA</v>
      </c>
      <c r="C76">
        <v>205248.77</v>
      </c>
      <c r="D76">
        <v>248351.01169999997</v>
      </c>
    </row>
    <row r="77" spans="1:4" x14ac:dyDescent="0.25">
      <c r="A77" t="str">
        <f>"00100"</f>
        <v>00100</v>
      </c>
      <c r="B77" t="str">
        <f>"ALBA FIJADOR AL AGUARRAS PREMIUM - 01 L - ALBA"</f>
        <v>ALBA FIJADOR AL AGUARRAS PREMIUM - 01 L - ALBA</v>
      </c>
      <c r="C77">
        <v>14660.7</v>
      </c>
      <c r="D77">
        <v>17739.447</v>
      </c>
    </row>
    <row r="78" spans="1:4" x14ac:dyDescent="0.25">
      <c r="A78" t="str">
        <f>"00102"</f>
        <v>00102</v>
      </c>
      <c r="B78" t="str">
        <f>"ALBA FIJADOR AL AGUARRAS PREMIUM - 20 L - ALBA"</f>
        <v>ALBA FIJADOR AL AGUARRAS PREMIUM - 20 L - ALBA</v>
      </c>
      <c r="C78">
        <v>183258.23</v>
      </c>
      <c r="D78">
        <v>221742.4583</v>
      </c>
    </row>
    <row r="79" spans="1:4" x14ac:dyDescent="0.25">
      <c r="A79" t="str">
        <f>"00103"</f>
        <v>00103</v>
      </c>
      <c r="B79" t="str">
        <f>"ALBA FIJADOR AL AGUARRAS STANDARD - 01 L - ALBA"</f>
        <v>ALBA FIJADOR AL AGUARRAS STANDARD - 01 L - ALBA</v>
      </c>
      <c r="C79">
        <v>9529.81</v>
      </c>
      <c r="D79">
        <v>11531.070099999999</v>
      </c>
    </row>
    <row r="80" spans="1:4" x14ac:dyDescent="0.25">
      <c r="A80" t="str">
        <f>"00104"</f>
        <v>00104</v>
      </c>
      <c r="B80" t="str">
        <f>"ALBA FIJADOR AL AGUARRAS STANDARD - 04 L - ALBA"</f>
        <v>ALBA FIJADOR AL AGUARRAS STANDARD - 04 L - ALBA</v>
      </c>
      <c r="C80">
        <v>29780.15</v>
      </c>
      <c r="D80">
        <v>36033.981500000002</v>
      </c>
    </row>
    <row r="81" spans="1:4" x14ac:dyDescent="0.25">
      <c r="A81" t="str">
        <f>"00105"</f>
        <v>00105</v>
      </c>
      <c r="B81" t="str">
        <f>"ALBA FIJADOR SELLADOR PREMIUM - 01 L - ALBA"</f>
        <v>ALBA FIJADOR SELLADOR PREMIUM - 01 L - ALBA</v>
      </c>
      <c r="C81">
        <v>6915.94</v>
      </c>
      <c r="D81">
        <v>8368.2873999999993</v>
      </c>
    </row>
    <row r="82" spans="1:4" x14ac:dyDescent="0.25">
      <c r="A82" t="str">
        <f>"00106"</f>
        <v>00106</v>
      </c>
      <c r="B82" t="str">
        <f>"ALBA FIJADOR SELLADOR PREMIUM - 04 L - ALBA"</f>
        <v>ALBA FIJADOR SELLADOR PREMIUM - 04 L - ALBA</v>
      </c>
      <c r="C82">
        <v>21611.3</v>
      </c>
      <c r="D82">
        <v>26149.672999999999</v>
      </c>
    </row>
    <row r="83" spans="1:4" x14ac:dyDescent="0.25">
      <c r="A83" t="str">
        <f>"00107"</f>
        <v>00107</v>
      </c>
      <c r="B83" t="str">
        <f>"ALBA FIJADOR SELLADOR PREMIUM - 10 L - ALBA"</f>
        <v>ALBA FIJADOR SELLADOR PREMIUM - 10 L - ALBA</v>
      </c>
      <c r="C83">
        <v>48408.55</v>
      </c>
      <c r="D83">
        <v>58574.345500000003</v>
      </c>
    </row>
    <row r="84" spans="1:4" x14ac:dyDescent="0.25">
      <c r="A84" t="str">
        <f>"00108"</f>
        <v>00108</v>
      </c>
      <c r="B84" t="str">
        <f>"ALBA FIJADOR SELLADOR PREMIUM - 20 L - ALBA"</f>
        <v>ALBA FIJADOR SELLADOR PREMIUM - 20 L - ALBA</v>
      </c>
      <c r="C84">
        <v>86443.18</v>
      </c>
      <c r="D84">
        <v>104596.24779999998</v>
      </c>
    </row>
    <row r="85" spans="1:4" x14ac:dyDescent="0.25">
      <c r="A85" t="str">
        <f>"00109"</f>
        <v>00109</v>
      </c>
      <c r="B85" t="str">
        <f>"ALBA FONDO BLANCO PREMIUM -  500 ML - ALBA"</f>
        <v>ALBA FONDO BLANCO PREMIUM -  500 ML - ALBA</v>
      </c>
      <c r="C85">
        <v>8837.61</v>
      </c>
      <c r="D85">
        <v>10693.508100000001</v>
      </c>
    </row>
    <row r="86" spans="1:4" x14ac:dyDescent="0.25">
      <c r="A86" t="str">
        <f>"00110"</f>
        <v>00110</v>
      </c>
      <c r="B86" t="str">
        <f>"ALBA FONDO BLANCO PREMIUM - 01 L - ALBA"</f>
        <v>ALBA FONDO BLANCO PREMIUM - 01 L - ALBA</v>
      </c>
      <c r="C86">
        <v>15075.61</v>
      </c>
      <c r="D86">
        <v>18241.488099999999</v>
      </c>
    </row>
    <row r="87" spans="1:4" x14ac:dyDescent="0.25">
      <c r="A87" t="str">
        <f>"00111"</f>
        <v>00111</v>
      </c>
      <c r="B87" t="str">
        <f>"ALBA FONDO BLANCO PREMIUM - 04 L - ALBA"</f>
        <v>ALBA FONDO BLANCO PREMIUM - 04 L - ALBA</v>
      </c>
      <c r="C87">
        <v>51984.77</v>
      </c>
      <c r="D87">
        <v>62901.571699999993</v>
      </c>
    </row>
    <row r="88" spans="1:4" x14ac:dyDescent="0.25">
      <c r="A88" t="str">
        <f>"00112"</f>
        <v>00112</v>
      </c>
      <c r="B88" t="str">
        <f>"ALBA FONDO BLANCO PREMIUM - 20 L - ALBA"</f>
        <v>ALBA FONDO BLANCO PREMIUM - 20 L - ALBA</v>
      </c>
      <c r="C88">
        <v>233931.99</v>
      </c>
      <c r="D88">
        <v>283057.70789999998</v>
      </c>
    </row>
    <row r="89" spans="1:4" x14ac:dyDescent="0.25">
      <c r="A89" t="str">
        <f>"00113"</f>
        <v>00113</v>
      </c>
      <c r="B89" t="str">
        <f>"ALBA FONDO UNIVERSAL AL AGUA -  500 ML - ALBA"</f>
        <v>ALBA FONDO UNIVERSAL AL AGUA -  500 ML - ALBA</v>
      </c>
      <c r="C89">
        <v>11033.5</v>
      </c>
      <c r="D89">
        <v>13350.535</v>
      </c>
    </row>
    <row r="90" spans="1:4" x14ac:dyDescent="0.25">
      <c r="A90" t="str">
        <f>"00114"</f>
        <v>00114</v>
      </c>
      <c r="B90" t="str">
        <f>"ALBA FONDO UNIVERSAL AL AGUA - 01 L - ALBA"</f>
        <v>ALBA FONDO UNIVERSAL AL AGUA - 01 L - ALBA</v>
      </c>
      <c r="C90">
        <v>18821.07</v>
      </c>
      <c r="D90">
        <v>22773.494699999999</v>
      </c>
    </row>
    <row r="91" spans="1:4" x14ac:dyDescent="0.25">
      <c r="A91" t="str">
        <f>"00115"</f>
        <v>00115</v>
      </c>
      <c r="B91" t="str">
        <f>"ALBA FONDO UNIVERSAL AL AGUA - 04 L - ALBA"</f>
        <v>ALBA FONDO UNIVERSAL AL AGUA - 04 L - ALBA</v>
      </c>
      <c r="C91">
        <v>64901.19</v>
      </c>
      <c r="D91">
        <v>78530.439899999998</v>
      </c>
    </row>
    <row r="92" spans="1:4" x14ac:dyDescent="0.25">
      <c r="A92" t="str">
        <f>"00116"</f>
        <v>00116</v>
      </c>
      <c r="B92" t="str">
        <f>"ALBA IMPRIM FIJADORA PREMIUM - 01 L - ALBA"</f>
        <v>ALBA IMPRIM FIJADORA PREMIUM - 01 L - ALBA</v>
      </c>
      <c r="C92">
        <v>8989.5</v>
      </c>
      <c r="D92">
        <v>10877.295</v>
      </c>
    </row>
    <row r="93" spans="1:4" x14ac:dyDescent="0.25">
      <c r="A93" t="str">
        <f>"00117"</f>
        <v>00117</v>
      </c>
      <c r="B93" t="str">
        <f>"ALBA IMPRIM FIJADORA PREMIUM - 04 L - ALBA"</f>
        <v>ALBA IMPRIM FIJADORA PREMIUM - 04 L - ALBA</v>
      </c>
      <c r="C93">
        <v>28093.98</v>
      </c>
      <c r="D93">
        <v>33993.715799999998</v>
      </c>
    </row>
    <row r="94" spans="1:4" x14ac:dyDescent="0.25">
      <c r="A94" t="str">
        <f>"00118"</f>
        <v>00118</v>
      </c>
      <c r="B94" t="str">
        <f>"ALBA IMPRIM FIJADORA PREMIUM - 10 L - ALBA"</f>
        <v>ALBA IMPRIM FIJADORA PREMIUM - 10 L - ALBA</v>
      </c>
      <c r="C94">
        <v>62929.58</v>
      </c>
      <c r="D94">
        <v>76144.791800000006</v>
      </c>
    </row>
    <row r="95" spans="1:4" x14ac:dyDescent="0.25">
      <c r="A95" t="str">
        <f>"00119"</f>
        <v>00119</v>
      </c>
      <c r="B95" t="str">
        <f>"ALBA IMPRIM FIJADORA PREMIUM - 20 L - ALBA"</f>
        <v>ALBA IMPRIM FIJADORA PREMIUM - 20 L - ALBA</v>
      </c>
      <c r="C95">
        <v>112374.9</v>
      </c>
      <c r="D95">
        <v>135973.62899999999</v>
      </c>
    </row>
    <row r="96" spans="1:4" x14ac:dyDescent="0.25">
      <c r="A96" t="str">
        <f>"00123"</f>
        <v>00123</v>
      </c>
      <c r="B96" t="str">
        <f>"ALBACRYL MATE BASE F - 03,6 L - ALBA"</f>
        <v>ALBACRYL MATE BASE F - 03,6 L - ALBA</v>
      </c>
      <c r="C96">
        <v>24474.94</v>
      </c>
      <c r="D96">
        <v>29614.677399999997</v>
      </c>
    </row>
    <row r="97" spans="1:4" x14ac:dyDescent="0.25">
      <c r="A97" t="str">
        <f>"00124"</f>
        <v>00124</v>
      </c>
      <c r="B97" t="str">
        <f>"ALBACRYL MATE BASE F - 17,4 L - ALBA"</f>
        <v>ALBACRYL MATE BASE F - 17,4 L - ALBA</v>
      </c>
      <c r="C97">
        <v>94132.88</v>
      </c>
      <c r="D97">
        <v>113900.78480000001</v>
      </c>
    </row>
    <row r="98" spans="1:4" x14ac:dyDescent="0.25">
      <c r="A98" t="str">
        <f>"00125"</f>
        <v>00125</v>
      </c>
      <c r="B98" t="str">
        <f>"ALBACRYL MATE BASE P - 03,6 L - ALBA"</f>
        <v>ALBACRYL MATE BASE P - 03,6 L - ALBA</v>
      </c>
      <c r="C98">
        <v>25880.76</v>
      </c>
      <c r="D98">
        <v>31315.719599999997</v>
      </c>
    </row>
    <row r="99" spans="1:4" x14ac:dyDescent="0.25">
      <c r="A99" t="str">
        <f>"00126"</f>
        <v>00126</v>
      </c>
      <c r="B99" t="str">
        <f>"ALBACRYL MATE BASE P - 08,7 L - ALBA"</f>
        <v>ALBACRYL MATE BASE P - 08,7 L - ALBA</v>
      </c>
      <c r="C99">
        <v>55744.5</v>
      </c>
      <c r="D99">
        <v>67450.845000000001</v>
      </c>
    </row>
    <row r="100" spans="1:4" x14ac:dyDescent="0.25">
      <c r="A100" t="str">
        <f>"00127"</f>
        <v>00127</v>
      </c>
      <c r="B100" t="str">
        <f>"ALBACRYL MATE BASE P - 17,4 L - ALBA"</f>
        <v>ALBACRYL MATE BASE P - 17,4 L - ALBA</v>
      </c>
      <c r="C100">
        <v>99543.1</v>
      </c>
      <c r="D100">
        <v>120447.151</v>
      </c>
    </row>
    <row r="101" spans="1:4" x14ac:dyDescent="0.25">
      <c r="A101" t="str">
        <f>"00128"</f>
        <v>00128</v>
      </c>
      <c r="B101" t="str">
        <f>"ALBACRYL MATE BLANCO - 01 L - ALBA"</f>
        <v>ALBACRYL MATE BLANCO - 01 L - ALBA</v>
      </c>
      <c r="C101">
        <v>8656.14</v>
      </c>
      <c r="D101">
        <v>10473.929399999999</v>
      </c>
    </row>
    <row r="102" spans="1:4" x14ac:dyDescent="0.25">
      <c r="A102" t="str">
        <f>"00129"</f>
        <v>00129</v>
      </c>
      <c r="B102" t="str">
        <f>"ALBACRYL MATE BLANCO - 04 L - ALBA"</f>
        <v>ALBACRYL MATE BLANCO - 04 L - ALBA</v>
      </c>
      <c r="C102">
        <v>28131.7</v>
      </c>
      <c r="D102">
        <v>34039.356999999996</v>
      </c>
    </row>
    <row r="103" spans="1:4" x14ac:dyDescent="0.25">
      <c r="A103" t="str">
        <f>"00130"</f>
        <v>00130</v>
      </c>
      <c r="B103" t="str">
        <f>"ALBACRYL MATE BLANCO - 10 L - ALBA"</f>
        <v>ALBACRYL MATE BLANCO - 10 L - ALBA</v>
      </c>
      <c r="C103">
        <v>60591.98</v>
      </c>
      <c r="D103">
        <v>73316.295800000007</v>
      </c>
    </row>
    <row r="104" spans="1:4" x14ac:dyDescent="0.25">
      <c r="A104" t="str">
        <f>"00131"</f>
        <v>00131</v>
      </c>
      <c r="B104" t="str">
        <f>"ALBACRYL MATE BLANCO - 20 L - ALBA"</f>
        <v>ALBACRYL MATE BLANCO - 20 L - ALBA</v>
      </c>
      <c r="C104">
        <v>108199.24</v>
      </c>
      <c r="D104">
        <v>130921.08040000001</v>
      </c>
    </row>
    <row r="105" spans="1:4" x14ac:dyDescent="0.25">
      <c r="A105" t="str">
        <f>"00132"</f>
        <v>00132</v>
      </c>
      <c r="B105" t="str">
        <f>"ALBACRYL RINDE MAS MATE BLANCO - 01 L - ALBA"</f>
        <v>ALBACRYL RINDE MAS MATE BLANCO - 01 L - ALBA</v>
      </c>
      <c r="C105">
        <v>11318.94</v>
      </c>
      <c r="D105">
        <v>13695.9174</v>
      </c>
    </row>
    <row r="106" spans="1:4" x14ac:dyDescent="0.25">
      <c r="A106" t="str">
        <f>"00133"</f>
        <v>00133</v>
      </c>
      <c r="B106" t="str">
        <f>"ALBACRYL RINDE MAS MATE BLANCO - 04 L - ALBA"</f>
        <v>ALBACRYL RINDE MAS MATE BLANCO - 04 L - ALBA</v>
      </c>
      <c r="C106">
        <v>36787.839999999997</v>
      </c>
      <c r="D106">
        <v>44513.286399999997</v>
      </c>
    </row>
    <row r="107" spans="1:4" x14ac:dyDescent="0.25">
      <c r="A107" t="str">
        <f>"00134"</f>
        <v>00134</v>
      </c>
      <c r="B107" t="str">
        <f>"ALBACRYL RINDE MAS MATE BLANCO - 10 L - ALBA"</f>
        <v>ALBACRYL RINDE MAS MATE BLANCO - 10 L - ALBA</v>
      </c>
      <c r="C107">
        <v>79234.649999999994</v>
      </c>
      <c r="D107">
        <v>95873.926499999987</v>
      </c>
    </row>
    <row r="108" spans="1:4" x14ac:dyDescent="0.25">
      <c r="A108" t="str">
        <f>"00135"</f>
        <v>00135</v>
      </c>
      <c r="B108" t="str">
        <f>"ALBACRYL RINDE MAS MATE BLANCO - 20 L - ALBA"</f>
        <v>ALBACRYL RINDE MAS MATE BLANCO - 20 L - ALBA</v>
      </c>
      <c r="C108">
        <v>141490.37</v>
      </c>
      <c r="D108">
        <v>171203.34769999998</v>
      </c>
    </row>
    <row r="109" spans="1:4" x14ac:dyDescent="0.25">
      <c r="A109" t="str">
        <f>"00136"</f>
        <v>00136</v>
      </c>
      <c r="B109" t="str">
        <f>"ALBAFRENT ACRILICO BLANCO - 01 L - ALBA"</f>
        <v>ALBAFRENT ACRILICO BLANCO - 01 L - ALBA</v>
      </c>
      <c r="C109">
        <v>10432.02</v>
      </c>
      <c r="D109">
        <v>12622.744200000001</v>
      </c>
    </row>
    <row r="110" spans="1:4" x14ac:dyDescent="0.25">
      <c r="A110" t="str">
        <f>"00137"</f>
        <v>00137</v>
      </c>
      <c r="B110" t="str">
        <f>"ALBAFRENT ACRILICO BLANCO - 04 L - ALBA"</f>
        <v>ALBAFRENT ACRILICO BLANCO - 04 L - ALBA</v>
      </c>
      <c r="C110">
        <v>33589.83</v>
      </c>
      <c r="D110">
        <v>40643.694300000003</v>
      </c>
    </row>
    <row r="111" spans="1:4" x14ac:dyDescent="0.25">
      <c r="A111" t="str">
        <f>"00138"</f>
        <v>00138</v>
      </c>
      <c r="B111" t="str">
        <f>"ALBAFRENT ACRILICO BLANCO - 10 L - ALBA"</f>
        <v>ALBAFRENT ACRILICO BLANCO - 10 L - ALBA</v>
      </c>
      <c r="C111">
        <v>72347.25</v>
      </c>
      <c r="D111">
        <v>87540.172500000001</v>
      </c>
    </row>
    <row r="112" spans="1:4" x14ac:dyDescent="0.25">
      <c r="A112" t="str">
        <f>"00139"</f>
        <v>00139</v>
      </c>
      <c r="B112" t="str">
        <f>"ALBAFRENT ACRILICO BLANCO - 20 L - ALBA"</f>
        <v>ALBAFRENT ACRILICO BLANCO - 20 L - ALBA</v>
      </c>
      <c r="C112">
        <v>129191.74</v>
      </c>
      <c r="D112">
        <v>156322.00539999999</v>
      </c>
    </row>
    <row r="113" spans="1:4" x14ac:dyDescent="0.25">
      <c r="A113" t="str">
        <f>"00140"</f>
        <v>00140</v>
      </c>
      <c r="B113" t="str">
        <f>"ALBAFRENT FRENTES Y MUROS BLANCO - 04 L - ALBA"</f>
        <v>ALBAFRENT FRENTES Y MUROS BLANCO - 04 L - ALBA</v>
      </c>
      <c r="C113">
        <v>34989.54</v>
      </c>
      <c r="D113">
        <v>42337.343399999998</v>
      </c>
    </row>
    <row r="114" spans="1:4" x14ac:dyDescent="0.25">
      <c r="A114" t="str">
        <f>"00141"</f>
        <v>00141</v>
      </c>
      <c r="B114" t="str">
        <f>"ALBAFRENT FRENTES Y MUROS BLANCO - 10 L - ALBA"</f>
        <v>ALBAFRENT FRENTES Y MUROS BLANCO - 10 L - ALBA</v>
      </c>
      <c r="C114">
        <v>75361.759999999995</v>
      </c>
      <c r="D114">
        <v>91187.729599999991</v>
      </c>
    </row>
    <row r="115" spans="1:4" x14ac:dyDescent="0.25">
      <c r="A115" t="str">
        <f>"00142"</f>
        <v>00142</v>
      </c>
      <c r="B115" t="str">
        <f>"ALBAFRENT FRENTES Y MUROS BLANCO - 20 L - ALBA"</f>
        <v>ALBAFRENT FRENTES Y MUROS BLANCO - 20 L - ALBA</v>
      </c>
      <c r="C115">
        <v>134575.45000000001</v>
      </c>
      <c r="D115">
        <v>162836.29450000002</v>
      </c>
    </row>
    <row r="116" spans="1:4" x14ac:dyDescent="0.25">
      <c r="A116" t="str">
        <f>"00143"</f>
        <v>00143</v>
      </c>
      <c r="B116" t="str">
        <f>"ALBAFRENT TECHOS  BLANCO - 04 KG - ALBA"</f>
        <v>ALBAFRENT TECHOS  BLANCO - 04 KG - ALBA</v>
      </c>
      <c r="C116">
        <v>31899.58</v>
      </c>
      <c r="D116">
        <v>38598.491800000003</v>
      </c>
    </row>
    <row r="117" spans="1:4" x14ac:dyDescent="0.25">
      <c r="A117" t="str">
        <f>"00144"</f>
        <v>00144</v>
      </c>
      <c r="B117" t="str">
        <f>"ALBAFRENT TECHOS  BLANCO - 10 KG - ALBA"</f>
        <v>ALBAFRENT TECHOS  BLANCO - 10 KG - ALBA</v>
      </c>
      <c r="C117">
        <v>68707.820000000007</v>
      </c>
      <c r="D117">
        <v>83136.462200000009</v>
      </c>
    </row>
    <row r="118" spans="1:4" x14ac:dyDescent="0.25">
      <c r="A118" t="str">
        <f>"00145"</f>
        <v>00145</v>
      </c>
      <c r="B118" t="str">
        <f>"ALBAFRENT TECHOS  BLANCO - 20 KG - ALBA"</f>
        <v>ALBAFRENT TECHOS  BLANCO - 20 KG - ALBA</v>
      </c>
      <c r="C118">
        <v>122691.73</v>
      </c>
      <c r="D118">
        <v>148456.9933</v>
      </c>
    </row>
    <row r="119" spans="1:4" x14ac:dyDescent="0.25">
      <c r="A119" t="str">
        <f>"00146"</f>
        <v>00146</v>
      </c>
      <c r="B119" t="str">
        <f>"ALBAFRENT TECHOS  ROJO - 04 KG - ALBA"</f>
        <v>ALBAFRENT TECHOS  ROJO - 04 KG - ALBA</v>
      </c>
      <c r="C119">
        <v>31899.58</v>
      </c>
      <c r="D119">
        <v>38598.491800000003</v>
      </c>
    </row>
    <row r="120" spans="1:4" x14ac:dyDescent="0.25">
      <c r="A120" t="str">
        <f>"00147"</f>
        <v>00147</v>
      </c>
      <c r="B120" t="str">
        <f>"ALBAFRENT TECHOS  ROJO - 10 KG - ALBA"</f>
        <v>ALBAFRENT TECHOS  ROJO - 10 KG - ALBA</v>
      </c>
      <c r="C120">
        <v>57697.07</v>
      </c>
      <c r="D120">
        <v>69813.454700000002</v>
      </c>
    </row>
    <row r="121" spans="1:4" x14ac:dyDescent="0.25">
      <c r="A121" t="str">
        <f>"00148"</f>
        <v>00148</v>
      </c>
      <c r="B121" t="str">
        <f>"ALBAFRENT TECHOS  ROJO - 20 KG - ALBA"</f>
        <v>ALBAFRENT TECHOS  ROJO - 20 KG - ALBA</v>
      </c>
      <c r="C121">
        <v>122691.73</v>
      </c>
      <c r="D121">
        <v>148456.9933</v>
      </c>
    </row>
    <row r="122" spans="1:4" x14ac:dyDescent="0.25">
      <c r="A122" t="str">
        <f>"00154"</f>
        <v>00154</v>
      </c>
      <c r="B122" t="str">
        <f>"ALBALATEX DESIGN AMARILLO LATINO - 01 L - ALBA"</f>
        <v>ALBALATEX DESIGN AMARILLO LATINO - 01 L - ALBA</v>
      </c>
      <c r="C122">
        <v>14911.19</v>
      </c>
      <c r="D122">
        <v>18042.5399</v>
      </c>
    </row>
    <row r="123" spans="1:4" x14ac:dyDescent="0.25">
      <c r="A123" t="str">
        <f>"00155"</f>
        <v>00155</v>
      </c>
      <c r="B123" t="str">
        <f>"ALBALATEX DESIGN AMARILLO LATINO - 04 L - ALBA"</f>
        <v>ALBALATEX DESIGN AMARILLO LATINO - 04 L - ALBA</v>
      </c>
      <c r="C123">
        <v>48460.53</v>
      </c>
      <c r="D123">
        <v>58637.241299999994</v>
      </c>
    </row>
    <row r="124" spans="1:4" x14ac:dyDescent="0.25">
      <c r="A124" t="str">
        <f>"00156"</f>
        <v>00156</v>
      </c>
      <c r="B124" t="str">
        <f>"ALBALATEX DESIGN AZUL BAHAMAS - 01 L - ALBA"</f>
        <v>ALBALATEX DESIGN AZUL BAHAMAS - 01 L - ALBA</v>
      </c>
      <c r="C124">
        <v>14911.19</v>
      </c>
      <c r="D124">
        <v>18042.5399</v>
      </c>
    </row>
    <row r="125" spans="1:4" x14ac:dyDescent="0.25">
      <c r="A125" t="str">
        <f>"00157"</f>
        <v>00157</v>
      </c>
      <c r="B125" t="str">
        <f>"ALBALATEX DESIGN AZUL BAHAMAS - 04 L - ALBA"</f>
        <v>ALBALATEX DESIGN AZUL BAHAMAS - 04 L - ALBA</v>
      </c>
      <c r="C125">
        <v>48460.53</v>
      </c>
      <c r="D125">
        <v>58637.241299999994</v>
      </c>
    </row>
    <row r="126" spans="1:4" x14ac:dyDescent="0.25">
      <c r="A126" t="str">
        <f>"00158"</f>
        <v>00158</v>
      </c>
      <c r="B126" t="str">
        <f>"ALBALATEX DESIGN GRIS CINCEL - 01 L - ALBA"</f>
        <v>ALBALATEX DESIGN GRIS CINCEL - 01 L - ALBA</v>
      </c>
      <c r="C126">
        <v>14911.19</v>
      </c>
      <c r="D126">
        <v>18042.5399</v>
      </c>
    </row>
    <row r="127" spans="1:4" x14ac:dyDescent="0.25">
      <c r="A127" t="str">
        <f>"00159"</f>
        <v>00159</v>
      </c>
      <c r="B127" t="str">
        <f>"ALBALATEX DESIGN GRIS CINCEL - 04 L - ALBA"</f>
        <v>ALBALATEX DESIGN GRIS CINCEL - 04 L - ALBA</v>
      </c>
      <c r="C127">
        <v>48460.53</v>
      </c>
      <c r="D127">
        <v>58637.241299999994</v>
      </c>
    </row>
    <row r="128" spans="1:4" x14ac:dyDescent="0.25">
      <c r="A128" t="str">
        <f>"00160"</f>
        <v>00160</v>
      </c>
      <c r="B128" t="str">
        <f>"ALBALATEX DESIGN LEYENDA - 01 L - ALBA"</f>
        <v>ALBALATEX DESIGN LEYENDA - 01 L - ALBA</v>
      </c>
      <c r="C128">
        <v>14911.19</v>
      </c>
      <c r="D128">
        <v>18042.5399</v>
      </c>
    </row>
    <row r="129" spans="1:4" x14ac:dyDescent="0.25">
      <c r="A129" t="str">
        <f>"00161"</f>
        <v>00161</v>
      </c>
      <c r="B129" t="str">
        <f>"ALBALATEX DESIGN LEYENDA - 04 L - ALBA"</f>
        <v>ALBALATEX DESIGN LEYENDA - 04 L - ALBA</v>
      </c>
      <c r="C129">
        <v>48460.53</v>
      </c>
      <c r="D129">
        <v>58637.241299999994</v>
      </c>
    </row>
    <row r="130" spans="1:4" x14ac:dyDescent="0.25">
      <c r="A130" t="str">
        <f>"00162"</f>
        <v>00162</v>
      </c>
      <c r="B130" t="str">
        <f>"ALBALATEX DESIGN MATE BASE F -  900 ML - ALBA"</f>
        <v>ALBALATEX DESIGN MATE BASE F -  900 ML - ALBA</v>
      </c>
      <c r="C130">
        <v>14074.52</v>
      </c>
      <c r="D130">
        <v>17030.1692</v>
      </c>
    </row>
    <row r="131" spans="1:4" x14ac:dyDescent="0.25">
      <c r="A131" t="str">
        <f>"00163"</f>
        <v>00163</v>
      </c>
      <c r="B131" t="str">
        <f>"ALBALATEX DESIGN MATE BASE F - 03,6 L - ALBA"</f>
        <v>ALBALATEX DESIGN MATE BASE F - 03,6 L - ALBA</v>
      </c>
      <c r="C131">
        <v>45741.67</v>
      </c>
      <c r="D131">
        <v>55347.420699999995</v>
      </c>
    </row>
    <row r="132" spans="1:4" x14ac:dyDescent="0.25">
      <c r="A132" t="str">
        <f>"00164"</f>
        <v>00164</v>
      </c>
      <c r="B132" t="str">
        <f>"ALBALATEX DESIGN MATE BASE F - 17,4 L - ALBA"</f>
        <v>ALBALATEX DESIGN MATE BASE F - 17,4 L - ALBA</v>
      </c>
      <c r="C132">
        <v>175930.43</v>
      </c>
      <c r="D132">
        <v>212875.82029999999</v>
      </c>
    </row>
    <row r="133" spans="1:4" x14ac:dyDescent="0.25">
      <c r="A133" t="str">
        <f>"00165"</f>
        <v>00165</v>
      </c>
      <c r="B133" t="str">
        <f>"ALBALATEX DESIGN MATE BASE P -  900 ML - ALBA"</f>
        <v>ALBALATEX DESIGN MATE BASE P -  900 ML - ALBA</v>
      </c>
      <c r="C133">
        <v>14882.94</v>
      </c>
      <c r="D133">
        <v>18008.357400000001</v>
      </c>
    </row>
    <row r="134" spans="1:4" x14ac:dyDescent="0.25">
      <c r="A134" t="str">
        <f>"00166"</f>
        <v>00166</v>
      </c>
      <c r="B134" t="str">
        <f>"ALBALATEX DESIGN MATE BASE P - 03,6 L - ALBA"</f>
        <v>ALBALATEX DESIGN MATE BASE P - 03,6 L - ALBA</v>
      </c>
      <c r="C134">
        <v>48370.83</v>
      </c>
      <c r="D134">
        <v>58528.704299999998</v>
      </c>
    </row>
    <row r="135" spans="1:4" x14ac:dyDescent="0.25">
      <c r="A135" t="str">
        <f>"00167"</f>
        <v>00167</v>
      </c>
      <c r="B135" t="str">
        <f>"ALBALATEX DESIGN MATE BASE P - 08,7 L - ALBA"</f>
        <v>ALBALATEX DESIGN MATE BASE P - 08,7 L - ALBA</v>
      </c>
      <c r="C135">
        <v>104183.63</v>
      </c>
      <c r="D135">
        <v>126062.1923</v>
      </c>
    </row>
    <row r="136" spans="1:4" x14ac:dyDescent="0.25">
      <c r="A136" t="str">
        <f>"00168"</f>
        <v>00168</v>
      </c>
      <c r="B136" t="str">
        <f>"ALBALATEX DESIGN MATE BASE P - 17,4 L - ALBA"</f>
        <v>ALBALATEX DESIGN MATE BASE P - 17,4 L - ALBA</v>
      </c>
      <c r="C136">
        <v>186041.32</v>
      </c>
      <c r="D136">
        <v>225109.99720000001</v>
      </c>
    </row>
    <row r="137" spans="1:4" x14ac:dyDescent="0.25">
      <c r="A137" t="str">
        <f>"00169"</f>
        <v>00169</v>
      </c>
      <c r="B137" t="str">
        <f>"ALBALATEX DESIGN MATE BASE T -  900 ML - ALBA"</f>
        <v>ALBALATEX DESIGN MATE BASE T -  900 ML - ALBA</v>
      </c>
      <c r="C137">
        <v>12456.65</v>
      </c>
      <c r="D137">
        <v>15072.546499999999</v>
      </c>
    </row>
    <row r="138" spans="1:4" x14ac:dyDescent="0.25">
      <c r="A138" t="str">
        <f>"00170"</f>
        <v>00170</v>
      </c>
      <c r="B138" t="str">
        <f>"ALBALATEX DESIGN MATE BASE T - 03,6 L - ALBA"</f>
        <v>ALBALATEX DESIGN MATE BASE T - 03,6 L - ALBA</v>
      </c>
      <c r="C138">
        <v>40484.370000000003</v>
      </c>
      <c r="D138">
        <v>48986.087700000004</v>
      </c>
    </row>
    <row r="139" spans="1:4" x14ac:dyDescent="0.25">
      <c r="A139" t="str">
        <f>"00171"</f>
        <v>00171</v>
      </c>
      <c r="B139" t="str">
        <f>"ALBALATEX DESIGN MATE BLANCO - 01 L - ALBA"</f>
        <v>ALBALATEX DESIGN MATE BLANCO - 01 L - ALBA</v>
      </c>
      <c r="C139">
        <v>16177.64</v>
      </c>
      <c r="D139">
        <v>19574.9444</v>
      </c>
    </row>
    <row r="140" spans="1:4" x14ac:dyDescent="0.25">
      <c r="A140" t="str">
        <f>"00172"</f>
        <v>00172</v>
      </c>
      <c r="B140" t="str">
        <f>"ALBALATEX DESIGN MATE BLANCO - 04 L - ALBA"</f>
        <v>ALBALATEX DESIGN MATE BLANCO - 04 L - ALBA</v>
      </c>
      <c r="C140">
        <v>52577.07</v>
      </c>
      <c r="D140">
        <v>63618.254699999998</v>
      </c>
    </row>
    <row r="141" spans="1:4" x14ac:dyDescent="0.25">
      <c r="A141" t="str">
        <f>"00173"</f>
        <v>00173</v>
      </c>
      <c r="B141" t="str">
        <f>"ALBALATEX DESIGN MATE BLANCO - 10 L - ALBA"</f>
        <v>ALBALATEX DESIGN MATE BLANCO - 10 L - ALBA</v>
      </c>
      <c r="C141">
        <v>113242.46</v>
      </c>
      <c r="D141">
        <v>137023.37660000002</v>
      </c>
    </row>
    <row r="142" spans="1:4" x14ac:dyDescent="0.25">
      <c r="A142" t="str">
        <f>"00174"</f>
        <v>00174</v>
      </c>
      <c r="B142" t="str">
        <f>"ALBALATEX DESIGN MATE BLANCO - 20 L - ALBA"</f>
        <v>ALBALATEX DESIGN MATE BLANCO - 20 L - ALBA</v>
      </c>
      <c r="C142">
        <v>202218.96</v>
      </c>
      <c r="D142">
        <v>244684.94159999999</v>
      </c>
    </row>
    <row r="143" spans="1:4" x14ac:dyDescent="0.25">
      <c r="A143" t="str">
        <f>"00175"</f>
        <v>00175</v>
      </c>
      <c r="B143" t="str">
        <f>"ALBALATEX DESIGN NARANJA DULCE - 01 L - ALBA"</f>
        <v>ALBALATEX DESIGN NARANJA DULCE - 01 L - ALBA</v>
      </c>
      <c r="C143">
        <v>14911.19</v>
      </c>
      <c r="D143">
        <v>18042.5399</v>
      </c>
    </row>
    <row r="144" spans="1:4" x14ac:dyDescent="0.25">
      <c r="A144" t="str">
        <f>"00176"</f>
        <v>00176</v>
      </c>
      <c r="B144" t="str">
        <f>"ALBALATEX DESIGN NARANJA DULCE - 04 L - ALBA"</f>
        <v>ALBALATEX DESIGN NARANJA DULCE - 04 L - ALBA</v>
      </c>
      <c r="C144">
        <v>48460.53</v>
      </c>
      <c r="D144">
        <v>58637.241299999994</v>
      </c>
    </row>
    <row r="145" spans="1:4" x14ac:dyDescent="0.25">
      <c r="A145" t="str">
        <f>"00177"</f>
        <v>00177</v>
      </c>
      <c r="B145" t="str">
        <f>"ALBALATEX DESIGN ROJO INTENSO - 01 L - ALBA"</f>
        <v>ALBALATEX DESIGN ROJO INTENSO - 01 L - ALBA</v>
      </c>
      <c r="C145">
        <v>14911.19</v>
      </c>
      <c r="D145">
        <v>18042.5399</v>
      </c>
    </row>
    <row r="146" spans="1:4" x14ac:dyDescent="0.25">
      <c r="A146" t="str">
        <f>"00178"</f>
        <v>00178</v>
      </c>
      <c r="B146" t="str">
        <f>"ALBALATEX DESIGN ROJO INTENSO - 04 L - ALBA"</f>
        <v>ALBALATEX DESIGN ROJO INTENSO - 04 L - ALBA</v>
      </c>
      <c r="C146">
        <v>48460.53</v>
      </c>
      <c r="D146">
        <v>58637.241299999994</v>
      </c>
    </row>
    <row r="147" spans="1:4" x14ac:dyDescent="0.25">
      <c r="A147" t="str">
        <f>"00179"</f>
        <v>00179</v>
      </c>
      <c r="B147" t="str">
        <f>"ALBALATEX DESIGN VERDE EXOTICO - 01 L - ALBA"</f>
        <v>ALBALATEX DESIGN VERDE EXOTICO - 01 L - ALBA</v>
      </c>
      <c r="C147">
        <v>14911.19</v>
      </c>
      <c r="D147">
        <v>18042.5399</v>
      </c>
    </row>
    <row r="148" spans="1:4" x14ac:dyDescent="0.25">
      <c r="A148" t="str">
        <f>"00180"</f>
        <v>00180</v>
      </c>
      <c r="B148" t="str">
        <f>"ALBALATEX DESIGN VERDE EXOTICO - 04 L - ALBA"</f>
        <v>ALBALATEX DESIGN VERDE EXOTICO - 04 L - ALBA</v>
      </c>
      <c r="C148">
        <v>48460.53</v>
      </c>
      <c r="D148">
        <v>58637.241299999994</v>
      </c>
    </row>
    <row r="149" spans="1:4" x14ac:dyDescent="0.25">
      <c r="A149" t="str">
        <f>"00181"</f>
        <v>00181</v>
      </c>
      <c r="B149" t="str">
        <f>"ALBALATEX DESIGN VIOLETA CLASICO - 01 L - ALBA"</f>
        <v>ALBALATEX DESIGN VIOLETA CLASICO - 01 L - ALBA</v>
      </c>
      <c r="C149">
        <v>14911.19</v>
      </c>
      <c r="D149">
        <v>18042.5399</v>
      </c>
    </row>
    <row r="150" spans="1:4" x14ac:dyDescent="0.25">
      <c r="A150" t="str">
        <f>"00182"</f>
        <v>00182</v>
      </c>
      <c r="B150" t="str">
        <f>"ALBALATEX DESIGN VIOLETA CLASICO - 04 L - ALBA"</f>
        <v>ALBALATEX DESIGN VIOLETA CLASICO - 04 L - ALBA</v>
      </c>
      <c r="C150">
        <v>48460.53</v>
      </c>
      <c r="D150">
        <v>58637.241299999994</v>
      </c>
    </row>
    <row r="151" spans="1:4" x14ac:dyDescent="0.25">
      <c r="A151" t="str">
        <f>"00183"</f>
        <v>00183</v>
      </c>
      <c r="B151" t="str">
        <f>"ALBALATEX MATE BASE F -  900 ML - ALBA"</f>
        <v>ALBALATEX MATE BASE F -  900 ML - ALBA</v>
      </c>
      <c r="C151">
        <v>11857.21</v>
      </c>
      <c r="D151">
        <v>14347.224099999998</v>
      </c>
    </row>
    <row r="152" spans="1:4" x14ac:dyDescent="0.25">
      <c r="A152" t="str">
        <f>"00184"</f>
        <v>00184</v>
      </c>
      <c r="B152" t="str">
        <f>"ALBALATEX MATE BASE F - 03,6 L - ALBA"</f>
        <v>ALBALATEX MATE BASE F - 03,6 L - ALBA</v>
      </c>
      <c r="C152">
        <v>38536.199999999997</v>
      </c>
      <c r="D152">
        <v>46628.801999999996</v>
      </c>
    </row>
    <row r="153" spans="1:4" x14ac:dyDescent="0.25">
      <c r="A153" t="str">
        <f>"00185"</f>
        <v>00185</v>
      </c>
      <c r="B153" t="str">
        <f>"ALBALATEX MATE BASE F - 08,7 L - ALBA"</f>
        <v>ALBALATEX MATE BASE F - 08,7 L - ALBA</v>
      </c>
      <c r="C153">
        <v>83000.5</v>
      </c>
      <c r="D153">
        <v>100430.605</v>
      </c>
    </row>
    <row r="154" spans="1:4" x14ac:dyDescent="0.25">
      <c r="A154" t="str">
        <f>"00186"</f>
        <v>00186</v>
      </c>
      <c r="B154" t="str">
        <f>"ALBALATEX MATE BASE F - 17,4 L - ALBA"</f>
        <v>ALBALATEX MATE BASE F - 17,4 L - ALBA</v>
      </c>
      <c r="C154">
        <v>148215.67999999999</v>
      </c>
      <c r="D154">
        <v>179340.97279999999</v>
      </c>
    </row>
    <row r="155" spans="1:4" x14ac:dyDescent="0.25">
      <c r="A155" t="str">
        <f>"00187"</f>
        <v>00187</v>
      </c>
      <c r="B155" t="str">
        <f>"ALBALATEX MATE BASE P -  900 ML - ALBA"</f>
        <v>ALBALATEX MATE BASE P -  900 ML - ALBA</v>
      </c>
      <c r="C155">
        <v>12539.23</v>
      </c>
      <c r="D155">
        <v>15172.468299999999</v>
      </c>
    </row>
    <row r="156" spans="1:4" x14ac:dyDescent="0.25">
      <c r="A156" t="str">
        <f>"00188"</f>
        <v>00188</v>
      </c>
      <c r="B156" t="str">
        <f>"ALBALATEX MATE BASE P - 03,6 L - ALBA"</f>
        <v>ALBALATEX MATE BASE P - 03,6 L - ALBA</v>
      </c>
      <c r="C156">
        <v>40750.44</v>
      </c>
      <c r="D156">
        <v>49308.032400000004</v>
      </c>
    </row>
    <row r="157" spans="1:4" x14ac:dyDescent="0.25">
      <c r="A157" t="str">
        <f>"00189"</f>
        <v>00189</v>
      </c>
      <c r="B157" t="str">
        <f>"ALBALATEX MATE BASE P - 08,7 L - ALBA"</f>
        <v>ALBALATEX MATE BASE P - 08,7 L - ALBA</v>
      </c>
      <c r="C157">
        <v>87771.520000000004</v>
      </c>
      <c r="D157">
        <v>106203.5392</v>
      </c>
    </row>
    <row r="158" spans="1:4" x14ac:dyDescent="0.25">
      <c r="A158" t="str">
        <f>"00190"</f>
        <v>00190</v>
      </c>
      <c r="B158" t="str">
        <f>"ALBALATEX MATE BASE P - 17,4 L - ALBA"</f>
        <v>ALBALATEX MATE BASE P - 17,4 L - ALBA</v>
      </c>
      <c r="C158">
        <v>156734.20000000001</v>
      </c>
      <c r="D158">
        <v>189648.38200000001</v>
      </c>
    </row>
    <row r="159" spans="1:4" x14ac:dyDescent="0.25">
      <c r="A159" t="str">
        <f>"00191"</f>
        <v>00191</v>
      </c>
      <c r="B159" t="str">
        <f>"ALBALATEX MATE BASE T -  900 ML - ALBA"</f>
        <v>ALBALATEX MATE BASE T -  900 ML - ALBA</v>
      </c>
      <c r="C159">
        <v>10494.21</v>
      </c>
      <c r="D159">
        <v>12697.994099999998</v>
      </c>
    </row>
    <row r="160" spans="1:4" x14ac:dyDescent="0.25">
      <c r="A160" t="str">
        <f>"00192"</f>
        <v>00192</v>
      </c>
      <c r="B160" t="str">
        <f>"ALBALATEX MATE BASE T - 03,6 L - ALBA"</f>
        <v>ALBALATEX MATE BASE T - 03,6 L - ALBA</v>
      </c>
      <c r="C160">
        <v>34106.69</v>
      </c>
      <c r="D160">
        <v>41269.094900000004</v>
      </c>
    </row>
    <row r="161" spans="1:4" x14ac:dyDescent="0.25">
      <c r="A161" t="str">
        <f>"00193"</f>
        <v>00193</v>
      </c>
      <c r="B161" t="str">
        <f>"ALBALATEX MATE BASE T - 17,4 L - ALBA"</f>
        <v>ALBALATEX MATE BASE T - 17,4 L - ALBA</v>
      </c>
      <c r="C161">
        <v>131179.66</v>
      </c>
      <c r="D161">
        <v>158727.38860000001</v>
      </c>
    </row>
    <row r="162" spans="1:4" x14ac:dyDescent="0.25">
      <c r="A162" t="str">
        <f>"00194"</f>
        <v>00194</v>
      </c>
      <c r="B162" t="str">
        <f>"ALBALATEX MATE BLANCO - 01 L - ALBA"</f>
        <v>ALBALATEX MATE BLANCO - 01 L - ALBA</v>
      </c>
      <c r="C162">
        <v>13629.02</v>
      </c>
      <c r="D162">
        <v>16491.1142</v>
      </c>
    </row>
    <row r="163" spans="1:4" x14ac:dyDescent="0.25">
      <c r="A163" t="str">
        <f>"00195"</f>
        <v>00195</v>
      </c>
      <c r="B163" t="str">
        <f>"ALBALATEX MATE BLANCO - 04 L - ALBA"</f>
        <v>ALBALATEX MATE BLANCO - 04 L - ALBA</v>
      </c>
      <c r="C163">
        <v>44294.05</v>
      </c>
      <c r="D163">
        <v>53595.800500000005</v>
      </c>
    </row>
    <row r="164" spans="1:4" x14ac:dyDescent="0.25">
      <c r="A164" t="str">
        <f>"00196"</f>
        <v>00196</v>
      </c>
      <c r="B164" t="str">
        <f>"ALBALATEX MATE BLANCO - 10 L - ALBA"</f>
        <v>ALBALATEX MATE BLANCO - 10 L - ALBA</v>
      </c>
      <c r="C164">
        <v>95403.11</v>
      </c>
      <c r="D164">
        <v>115437.7631</v>
      </c>
    </row>
    <row r="165" spans="1:4" x14ac:dyDescent="0.25">
      <c r="A165" t="str">
        <f>"00197"</f>
        <v>00197</v>
      </c>
      <c r="B165" t="str">
        <f>"ALBALATEX MATE BLANCO - 20 L - ALBA"</f>
        <v>ALBALATEX MATE BLANCO - 20 L - ALBA</v>
      </c>
      <c r="C165">
        <v>154875.65</v>
      </c>
      <c r="D165">
        <v>187399.53649999999</v>
      </c>
    </row>
    <row r="166" spans="1:4" x14ac:dyDescent="0.25">
      <c r="A166" t="str">
        <f>"00198"</f>
        <v>00198</v>
      </c>
      <c r="B166" t="str">
        <f>"ALBALATEX SATINADO BASE F -  900 ML - ALBA"</f>
        <v>ALBALATEX SATINADO BASE F -  900 ML - ALBA</v>
      </c>
      <c r="C166">
        <v>18741.55</v>
      </c>
      <c r="D166">
        <v>22677.2755</v>
      </c>
    </row>
    <row r="167" spans="1:4" x14ac:dyDescent="0.25">
      <c r="A167" t="str">
        <f>"00199"</f>
        <v>00199</v>
      </c>
      <c r="B167" t="str">
        <f>"ALBALATEX SATINADO BASE F - 03,6 L - ALBA"</f>
        <v>ALBALATEX SATINADO BASE F - 03,6 L - ALBA</v>
      </c>
      <c r="C167">
        <v>60911.07</v>
      </c>
      <c r="D167">
        <v>73702.394700000004</v>
      </c>
    </row>
    <row r="168" spans="1:4" x14ac:dyDescent="0.25">
      <c r="A168" t="str">
        <f>"00200"</f>
        <v>00200</v>
      </c>
      <c r="B168" t="str">
        <f>"ALBALATEX SATINADO BASE F - 17,4 L - ALBA"</f>
        <v>ALBALATEX SATINADO BASE F - 17,4 L - ALBA</v>
      </c>
      <c r="C168">
        <v>234274.52</v>
      </c>
      <c r="D168">
        <v>283472.1692</v>
      </c>
    </row>
    <row r="169" spans="1:4" x14ac:dyDescent="0.25">
      <c r="A169" t="str">
        <f>"00201"</f>
        <v>00201</v>
      </c>
      <c r="B169" t="str">
        <f>"ALBALATEX SATINADO BASE P -  900 ML - ALBA"</f>
        <v>ALBALATEX SATINADO BASE P -  900 ML - ALBA</v>
      </c>
      <c r="C169">
        <v>19819.11</v>
      </c>
      <c r="D169">
        <v>23981.123100000001</v>
      </c>
    </row>
    <row r="170" spans="1:4" x14ac:dyDescent="0.25">
      <c r="A170" t="str">
        <f>"00202"</f>
        <v>00202</v>
      </c>
      <c r="B170" t="str">
        <f>"ALBALATEX SATINADO BASE P - 03,6 L - ALBA"</f>
        <v>ALBALATEX SATINADO BASE P - 03,6 L - ALBA</v>
      </c>
      <c r="C170">
        <v>64411.86</v>
      </c>
      <c r="D170">
        <v>77938.350600000005</v>
      </c>
    </row>
    <row r="171" spans="1:4" x14ac:dyDescent="0.25">
      <c r="A171" t="str">
        <f>"00203"</f>
        <v>00203</v>
      </c>
      <c r="B171" t="str">
        <f>"ALBALATEX SATINADO BASE P - 08,7 L - ALBA"</f>
        <v>ALBALATEX SATINADO BASE P - 08,7 L - ALBA</v>
      </c>
      <c r="C171">
        <v>138733.78</v>
      </c>
      <c r="D171">
        <v>167867.8738</v>
      </c>
    </row>
    <row r="172" spans="1:4" x14ac:dyDescent="0.25">
      <c r="A172" t="str">
        <f>"00204"</f>
        <v>00204</v>
      </c>
      <c r="B172" t="str">
        <f>"ALBALATEX SATINADO BASE P - 17,4 L - ALBA"</f>
        <v>ALBALATEX SATINADO BASE P - 17,4 L - ALBA</v>
      </c>
      <c r="C172">
        <v>247738.39</v>
      </c>
      <c r="D172">
        <v>299763.45189999999</v>
      </c>
    </row>
    <row r="173" spans="1:4" x14ac:dyDescent="0.25">
      <c r="A173" t="str">
        <f>"00205"</f>
        <v>00205</v>
      </c>
      <c r="B173" t="str">
        <f>"ALBALATEX SATINADO BASE T -  900 ML - ALBA"</f>
        <v>ALBALATEX SATINADO BASE T -  900 ML - ALBA</v>
      </c>
      <c r="C173">
        <v>16588.48</v>
      </c>
      <c r="D173">
        <v>20072.060799999999</v>
      </c>
    </row>
    <row r="174" spans="1:4" x14ac:dyDescent="0.25">
      <c r="A174" t="str">
        <f>"00206"</f>
        <v>00206</v>
      </c>
      <c r="B174" t="str">
        <f>"ALBALATEX SATINADO BASE T - 03,6 L - ALBA"</f>
        <v>ALBALATEX SATINADO BASE T - 03,6 L - ALBA</v>
      </c>
      <c r="C174">
        <v>53909.49</v>
      </c>
      <c r="D174">
        <v>65230.482899999995</v>
      </c>
    </row>
    <row r="175" spans="1:4" x14ac:dyDescent="0.25">
      <c r="A175" t="str">
        <f>"00207"</f>
        <v>00207</v>
      </c>
      <c r="B175" t="str">
        <f>"ALBALATEX SATINADO BLANCO - 01 L - ALBA"</f>
        <v>ALBALATEX SATINADO BLANCO - 01 L - ALBA</v>
      </c>
      <c r="C175">
        <v>21543</v>
      </c>
      <c r="D175">
        <v>26067.03</v>
      </c>
    </row>
    <row r="176" spans="1:4" x14ac:dyDescent="0.25">
      <c r="A176" t="str">
        <f>"00208"</f>
        <v>00208</v>
      </c>
      <c r="B176" t="str">
        <f>"ALBALATEX SATINADO BLANCO - 04 L - ALBA"</f>
        <v>ALBALATEX SATINADO BLANCO - 04 L - ALBA</v>
      </c>
      <c r="C176">
        <v>70012.710000000006</v>
      </c>
      <c r="D176">
        <v>84715.379100000006</v>
      </c>
    </row>
    <row r="177" spans="1:4" x14ac:dyDescent="0.25">
      <c r="A177" t="str">
        <f>"00209"</f>
        <v>00209</v>
      </c>
      <c r="B177" t="str">
        <f>"ALBALATEX SATINADO BLANCO - 10 L - ALBA"</f>
        <v>ALBALATEX SATINADO BLANCO - 10 L - ALBA</v>
      </c>
      <c r="C177">
        <v>150797.95000000001</v>
      </c>
      <c r="D177">
        <v>182465.51949999999</v>
      </c>
    </row>
    <row r="178" spans="1:4" x14ac:dyDescent="0.25">
      <c r="A178" t="str">
        <f>"00210"</f>
        <v>00210</v>
      </c>
      <c r="B178" t="str">
        <f>"ALBALATEX SATINADO BLANCO - 20 L - ALBA"</f>
        <v>ALBALATEX SATINADO BLANCO - 20 L - ALBA</v>
      </c>
      <c r="C178">
        <v>272572.84000000003</v>
      </c>
      <c r="D178">
        <v>329813.13640000002</v>
      </c>
    </row>
    <row r="179" spans="1:4" x14ac:dyDescent="0.25">
      <c r="A179" t="str">
        <f>"00211"</f>
        <v>00211</v>
      </c>
      <c r="B179" t="str">
        <f>"ALBALATEX TOQUE DE LUZ BASE F -  900 ML - ALBA"</f>
        <v>ALBALATEX TOQUE DE LUZ BASE F -  900 ML - ALBA</v>
      </c>
      <c r="C179">
        <v>14888.04</v>
      </c>
      <c r="D179">
        <v>18014.528399999999</v>
      </c>
    </row>
    <row r="180" spans="1:4" x14ac:dyDescent="0.25">
      <c r="A180" t="str">
        <f>"00212"</f>
        <v>00212</v>
      </c>
      <c r="B180" t="str">
        <f>"ALBALATEX TOQUE DE LUZ BASE F - 03,6 L - ALBA"</f>
        <v>ALBALATEX TOQUE DE LUZ BASE F - 03,6 L - ALBA</v>
      </c>
      <c r="C180">
        <v>48387.14</v>
      </c>
      <c r="D180">
        <v>58548.439399999996</v>
      </c>
    </row>
    <row r="181" spans="1:4" x14ac:dyDescent="0.25">
      <c r="A181" t="str">
        <f>"00213"</f>
        <v>00213</v>
      </c>
      <c r="B181" t="str">
        <f>"ALBALATEX TOQUE DE LUZ BASE F - 17,4 L - ALBA"</f>
        <v>ALBALATEX TOQUE DE LUZ BASE F - 17,4 L - ALBA</v>
      </c>
      <c r="C181">
        <v>186103.51</v>
      </c>
      <c r="D181">
        <v>225185.24710000001</v>
      </c>
    </row>
    <row r="182" spans="1:4" x14ac:dyDescent="0.25">
      <c r="A182" t="str">
        <f>"00214"</f>
        <v>00214</v>
      </c>
      <c r="B182" t="str">
        <f>"ALBALATEX TOQUE DE LUZ BASE P -  900 ML - ALBA"</f>
        <v>ALBALATEX TOQUE DE LUZ BASE P -  900 ML - ALBA</v>
      </c>
      <c r="C182">
        <v>15744.37</v>
      </c>
      <c r="D182">
        <v>19050.687700000002</v>
      </c>
    </row>
    <row r="183" spans="1:4" x14ac:dyDescent="0.25">
      <c r="A183" t="str">
        <f>"00215"</f>
        <v>00215</v>
      </c>
      <c r="B183" t="str">
        <f>"ALBALATEX TOQUE DE LUZ BASE P - 03,6 L - ALBA"</f>
        <v>ALBALATEX TOQUE DE LUZ BASE P - 03,6 L - ALBA</v>
      </c>
      <c r="C183">
        <v>51168.19</v>
      </c>
      <c r="D183">
        <v>61913.509900000005</v>
      </c>
    </row>
    <row r="184" spans="1:4" x14ac:dyDescent="0.25">
      <c r="A184" t="str">
        <f>"00216"</f>
        <v>00216</v>
      </c>
      <c r="B184" t="str">
        <f>"ALBALATEX TOQUE DE LUZ BASE P - 08,7 L - ALBA"</f>
        <v>ALBALATEX TOQUE DE LUZ BASE P - 08,7 L - ALBA</v>
      </c>
      <c r="C184">
        <v>110207.56</v>
      </c>
      <c r="D184">
        <v>133351.1476</v>
      </c>
    </row>
    <row r="185" spans="1:4" x14ac:dyDescent="0.25">
      <c r="A185" t="str">
        <f>"00217"</f>
        <v>00217</v>
      </c>
      <c r="B185" t="str">
        <f>"ALBALATEX TOQUE DE LUZ BASE P - 17,4 L - ALBA"</f>
        <v>ALBALATEX TOQUE DE LUZ BASE P - 17,4 L - ALBA</v>
      </c>
      <c r="C185">
        <v>196799.57</v>
      </c>
      <c r="D185">
        <v>238127.4797</v>
      </c>
    </row>
    <row r="186" spans="1:4" x14ac:dyDescent="0.25">
      <c r="A186" t="str">
        <f>"00218"</f>
        <v>00218</v>
      </c>
      <c r="B186" t="str">
        <f>"ALBALATEX TOQUE DE LUZ BASE T -  900 ML - ALBA"</f>
        <v>ALBALATEX TOQUE DE LUZ BASE T -  900 ML - ALBA</v>
      </c>
      <c r="C186">
        <v>13176.38</v>
      </c>
      <c r="D186">
        <v>15943.419799999998</v>
      </c>
    </row>
    <row r="187" spans="1:4" x14ac:dyDescent="0.25">
      <c r="A187" t="str">
        <f>"00219"</f>
        <v>00219</v>
      </c>
      <c r="B187" t="str">
        <f>"ALBALATEX TOQUE DE LUZ BASE T - 03,6 L - ALBA"</f>
        <v>ALBALATEX TOQUE DE LUZ BASE T - 03,6 L - ALBA</v>
      </c>
      <c r="C187">
        <v>42825.02</v>
      </c>
      <c r="D187">
        <v>51818.274199999993</v>
      </c>
    </row>
    <row r="188" spans="1:4" x14ac:dyDescent="0.25">
      <c r="A188" t="str">
        <f>"00220"</f>
        <v>00220</v>
      </c>
      <c r="B188" t="str">
        <f>"ALBALATEX TOQUE DE LUZ BLANCO - 01 L - ALBA"</f>
        <v>ALBALATEX TOQUE DE LUZ BLANCO - 01 L - ALBA</v>
      </c>
      <c r="C188">
        <v>17112.47</v>
      </c>
      <c r="D188">
        <v>20706.0887</v>
      </c>
    </row>
    <row r="189" spans="1:4" x14ac:dyDescent="0.25">
      <c r="A189" t="str">
        <f>"00221"</f>
        <v>00221</v>
      </c>
      <c r="B189" t="str">
        <f>"ALBALATEX TOQUE DE LUZ BLANCO - 04 L - ALBA"</f>
        <v>ALBALATEX TOQUE DE LUZ BLANCO - 04 L - ALBA</v>
      </c>
      <c r="C189">
        <v>55617.07</v>
      </c>
      <c r="D189">
        <v>67296.654699999999</v>
      </c>
    </row>
    <row r="190" spans="1:4" x14ac:dyDescent="0.25">
      <c r="A190" t="str">
        <f>"00222"</f>
        <v>00222</v>
      </c>
      <c r="B190" t="str">
        <f>"ALBALATEX TOQUE DE LUZ BLANCO - 10 L - ALBA"</f>
        <v>ALBALATEX TOQUE DE LUZ BLANCO - 10 L - ALBA</v>
      </c>
      <c r="C190">
        <v>119790.38</v>
      </c>
      <c r="D190">
        <v>144946.35980000001</v>
      </c>
    </row>
    <row r="191" spans="1:4" x14ac:dyDescent="0.25">
      <c r="A191" t="str">
        <f>"00223"</f>
        <v>00223</v>
      </c>
      <c r="B191" t="str">
        <f>"ALBALATEX TOQUE DE LUZ BLANCO - 20 L - ALBA"</f>
        <v>ALBALATEX TOQUE DE LUZ BLANCO - 20 L - ALBA</v>
      </c>
      <c r="C191">
        <v>213912.05</v>
      </c>
      <c r="D191">
        <v>258833.58049999998</v>
      </c>
    </row>
    <row r="192" spans="1:4" x14ac:dyDescent="0.25">
      <c r="A192" t="str">
        <f>"00224"</f>
        <v>00224</v>
      </c>
      <c r="B192" t="str">
        <f>"ALBALATEX ULTRA LAVABLE BASE F -  900 ML - ALBA"</f>
        <v>ALBALATEX ULTRA LAVABLE BASE F -  900 ML - ALBA</v>
      </c>
      <c r="C192">
        <v>15558.83</v>
      </c>
      <c r="D192">
        <v>18826.184300000001</v>
      </c>
    </row>
    <row r="193" spans="1:4" x14ac:dyDescent="0.25">
      <c r="A193" t="str">
        <f>"00225"</f>
        <v>00225</v>
      </c>
      <c r="B193" t="str">
        <f>"ALBALATEX ULTRA LAVABLE BASE F - 03,6 L - ALBA"</f>
        <v>ALBALATEX ULTRA LAVABLE BASE F - 03,6 L - ALBA</v>
      </c>
      <c r="C193">
        <v>50564.68</v>
      </c>
      <c r="D193">
        <v>61183.262799999997</v>
      </c>
    </row>
    <row r="194" spans="1:4" x14ac:dyDescent="0.25">
      <c r="A194" t="str">
        <f>"00226"</f>
        <v>00226</v>
      </c>
      <c r="B194" t="str">
        <f>"ALBALATEX ULTRA LAVABLE BASE F - 17,4 L - ALBA"</f>
        <v>ALBALATEX ULTRA LAVABLE BASE F - 17,4 L - ALBA</v>
      </c>
      <c r="C194">
        <v>194481.34</v>
      </c>
      <c r="D194">
        <v>235322.42139999999</v>
      </c>
    </row>
    <row r="195" spans="1:4" x14ac:dyDescent="0.25">
      <c r="A195" t="str">
        <f>"00227"</f>
        <v>00227</v>
      </c>
      <c r="B195" t="str">
        <f>"ALBALATEX ULTRA LAVABLE BASE P -  900 ML - ALBA"</f>
        <v>ALBALATEX ULTRA LAVABLE BASE P -  900 ML - ALBA</v>
      </c>
      <c r="C195">
        <v>16452.89</v>
      </c>
      <c r="D195">
        <v>19907.996899999998</v>
      </c>
    </row>
    <row r="196" spans="1:4" x14ac:dyDescent="0.25">
      <c r="A196" t="str">
        <f>"00228"</f>
        <v>00228</v>
      </c>
      <c r="B196" t="str">
        <f>"ALBALATEX ULTRA LAVABLE BASE P - 03,6 L - ALBA"</f>
        <v>ALBALATEX ULTRA LAVABLE BASE P - 03,6 L - ALBA</v>
      </c>
      <c r="C196">
        <v>53471.13</v>
      </c>
      <c r="D196">
        <v>64700.067299999995</v>
      </c>
    </row>
    <row r="197" spans="1:4" x14ac:dyDescent="0.25">
      <c r="A197" t="str">
        <f>"00229"</f>
        <v>00229</v>
      </c>
      <c r="B197" t="str">
        <f>"ALBALATEX ULTRA LAVABLE BASE P - 08,7 L - ALBA"</f>
        <v>ALBALATEX ULTRA LAVABLE BASE P - 08,7 L - ALBA</v>
      </c>
      <c r="C197">
        <v>115169.22</v>
      </c>
      <c r="D197">
        <v>139354.7562</v>
      </c>
    </row>
    <row r="198" spans="1:4" x14ac:dyDescent="0.25">
      <c r="A198" t="str">
        <f>"00230"</f>
        <v>00230</v>
      </c>
      <c r="B198" t="str">
        <f>"ALBALATEX ULTRA LAVABLE BASE P - 17,4 L - ALBA"</f>
        <v>ALBALATEX ULTRA LAVABLE BASE P - 17,4 L - ALBA</v>
      </c>
      <c r="C198">
        <v>205658.58</v>
      </c>
      <c r="D198">
        <v>248846.88179999997</v>
      </c>
    </row>
    <row r="199" spans="1:4" x14ac:dyDescent="0.25">
      <c r="A199" t="str">
        <f>"00231"</f>
        <v>00231</v>
      </c>
      <c r="B199" t="str">
        <f>"ALBALATEX ULTRA LAVABLE BASE T -  900 ML - ALBA"</f>
        <v>ALBALATEX ULTRA LAVABLE BASE T -  900 ML - ALBA</v>
      </c>
      <c r="C199">
        <v>13770.27</v>
      </c>
      <c r="D199">
        <v>16662.026699999999</v>
      </c>
    </row>
    <row r="200" spans="1:4" x14ac:dyDescent="0.25">
      <c r="A200" t="str">
        <f>"00232"</f>
        <v>00232</v>
      </c>
      <c r="B200" t="str">
        <f>"ALBALATEX ULTRA LAVABLE BASE T - 03,6 L - ALBA"</f>
        <v>ALBALATEX ULTRA LAVABLE BASE T - 03,6 L - ALBA</v>
      </c>
      <c r="C200">
        <v>44752.800000000003</v>
      </c>
      <c r="D200">
        <v>54150.887999999999</v>
      </c>
    </row>
    <row r="201" spans="1:4" x14ac:dyDescent="0.25">
      <c r="A201" t="str">
        <f>"00233"</f>
        <v>00233</v>
      </c>
      <c r="B201" t="str">
        <f>"ALBALATEX ULTRA LAVABLE BLANCO - 01 L - ALBA"</f>
        <v>ALBALATEX ULTRA LAVABLE BLANCO - 01 L - ALBA</v>
      </c>
      <c r="C201">
        <v>17883.63</v>
      </c>
      <c r="D201">
        <v>21639.192299999999</v>
      </c>
    </row>
    <row r="202" spans="1:4" x14ac:dyDescent="0.25">
      <c r="A202" t="str">
        <f>"00234"</f>
        <v>00234</v>
      </c>
      <c r="B202" t="str">
        <f>"ALBALATEX ULTRA LAVABLE BLANCO - 04 L - ALBA"</f>
        <v>ALBALATEX ULTRA LAVABLE BLANCO - 04 L - ALBA</v>
      </c>
      <c r="C202">
        <v>58120.84</v>
      </c>
      <c r="D202">
        <v>70326.21639999999</v>
      </c>
    </row>
    <row r="203" spans="1:4" x14ac:dyDescent="0.25">
      <c r="A203" t="str">
        <f>"00235"</f>
        <v>00235</v>
      </c>
      <c r="B203" t="str">
        <f>"ALBALATEX ULTRA LAVABLE BLANCO - 10 L - ALBA"</f>
        <v>ALBALATEX ULTRA LAVABLE BLANCO - 10 L - ALBA</v>
      </c>
      <c r="C203">
        <v>125183.26</v>
      </c>
      <c r="D203">
        <v>151471.74459999998</v>
      </c>
    </row>
    <row r="204" spans="1:4" x14ac:dyDescent="0.25">
      <c r="A204" t="str">
        <f>"00236"</f>
        <v>00236</v>
      </c>
      <c r="B204" t="str">
        <f>"ALBALATEX ULTRA LAVABLE BLANCO - 20 L - ALBA"</f>
        <v>ALBALATEX ULTRA LAVABLE BLANCO - 20 L - ALBA</v>
      </c>
      <c r="C204">
        <v>223541.76000000001</v>
      </c>
      <c r="D204">
        <v>270485.52960000001</v>
      </c>
    </row>
    <row r="205" spans="1:4" x14ac:dyDescent="0.25">
      <c r="A205" t="str">
        <f>"00237"</f>
        <v>00237</v>
      </c>
      <c r="B205" t="str">
        <f>"ALBALUX  2 EN 1 AMARILLO - 01 L - ALBA"</f>
        <v>ALBALUX  2 EN 1 AMARILLO - 01 L - ALBA</v>
      </c>
      <c r="C205">
        <v>16640.27</v>
      </c>
      <c r="D205">
        <v>20134.726699999999</v>
      </c>
    </row>
    <row r="206" spans="1:4" x14ac:dyDescent="0.25">
      <c r="A206" t="str">
        <f>"00238"</f>
        <v>00238</v>
      </c>
      <c r="B206" t="str">
        <f>"ALBALUX  2 EN 1 AMARILLO - 04 L - ALBA"</f>
        <v>ALBALUX  2 EN 1 AMARILLO - 04 L - ALBA</v>
      </c>
      <c r="C206">
        <v>59281.61</v>
      </c>
      <c r="D206">
        <v>71730.748099999997</v>
      </c>
    </row>
    <row r="207" spans="1:4" x14ac:dyDescent="0.25">
      <c r="A207" t="str">
        <f>"00239"</f>
        <v>00239</v>
      </c>
      <c r="B207" t="str">
        <f>"ALBALUX  2 EN 1 AZUL MARINO - 01 L - ALBA"</f>
        <v>ALBALUX  2 EN 1 AZUL MARINO - 01 L - ALBA</v>
      </c>
      <c r="C207">
        <v>16640.27</v>
      </c>
      <c r="D207">
        <v>20134.726699999999</v>
      </c>
    </row>
    <row r="208" spans="1:4" x14ac:dyDescent="0.25">
      <c r="A208" t="str">
        <f>"00242"</f>
        <v>00242</v>
      </c>
      <c r="B208" t="str">
        <f>"ALBALUX  2 EN 1 BLANCO -  500 ML - ALBA"</f>
        <v>ALBALUX  2 EN 1 BLANCO -  500 ML - ALBA</v>
      </c>
      <c r="C208">
        <v>12000.96</v>
      </c>
      <c r="D208">
        <v>14521.161599999998</v>
      </c>
    </row>
    <row r="209" spans="1:4" x14ac:dyDescent="0.25">
      <c r="A209" t="str">
        <f>"00243"</f>
        <v>00243</v>
      </c>
      <c r="B209" t="str">
        <f>"ALBALUX  2 EN 1 BLANCO - 01 L - ALBA"</f>
        <v>ALBALUX  2 EN 1 BLANCO - 01 L - ALBA</v>
      </c>
      <c r="C209">
        <v>16640.27</v>
      </c>
      <c r="D209">
        <v>20134.726699999999</v>
      </c>
    </row>
    <row r="210" spans="1:4" x14ac:dyDescent="0.25">
      <c r="A210" t="str">
        <f>"00244"</f>
        <v>00244</v>
      </c>
      <c r="B210" t="str">
        <f>"ALBALUX  2 EN 1 BLANCO - 04 L - ALBA"</f>
        <v>ALBALUX  2 EN 1 BLANCO - 04 L - ALBA</v>
      </c>
      <c r="C210">
        <v>59281.61</v>
      </c>
      <c r="D210">
        <v>71730.748099999997</v>
      </c>
    </row>
    <row r="211" spans="1:4" x14ac:dyDescent="0.25">
      <c r="A211" t="str">
        <f>"00245"</f>
        <v>00245</v>
      </c>
      <c r="B211" t="str">
        <f>"ALBALUX  2 EN 1 FORJA GRIS - 01 L - ALBA"</f>
        <v>ALBALUX  2 EN 1 FORJA GRIS - 01 L - ALBA</v>
      </c>
      <c r="C211">
        <v>27835.040000000001</v>
      </c>
      <c r="D211">
        <v>33680.398399999998</v>
      </c>
    </row>
    <row r="212" spans="1:4" x14ac:dyDescent="0.25">
      <c r="A212" t="str">
        <f>"00246"</f>
        <v>00246</v>
      </c>
      <c r="B212" t="str">
        <f>"ALBALUX  2 EN 1 FORJA GRIS - 04 L - ALBA"</f>
        <v>ALBALUX  2 EN 1 FORJA GRIS - 04 L - ALBA</v>
      </c>
      <c r="C212">
        <v>95983.18</v>
      </c>
      <c r="D212">
        <v>116139.64779999999</v>
      </c>
    </row>
    <row r="213" spans="1:4" x14ac:dyDescent="0.25">
      <c r="A213" t="str">
        <f>"00247"</f>
        <v>00247</v>
      </c>
      <c r="B213" t="str">
        <f>"ALBALUX  2 EN 1 FORJA NEGRO - 01 L - ALBA"</f>
        <v>ALBALUX  2 EN 1 FORJA NEGRO - 01 L - ALBA</v>
      </c>
      <c r="C213">
        <v>27835.040000000001</v>
      </c>
      <c r="D213">
        <v>33680.398399999998</v>
      </c>
    </row>
    <row r="214" spans="1:4" x14ac:dyDescent="0.25">
      <c r="A214" t="str">
        <f>"00248"</f>
        <v>00248</v>
      </c>
      <c r="B214" t="str">
        <f>"ALBALUX  2 EN 1 FORJA NEGRO - 04 L - ALBA"</f>
        <v>ALBALUX  2 EN 1 FORJA NEGRO - 04 L - ALBA</v>
      </c>
      <c r="C214">
        <v>95983.18</v>
      </c>
      <c r="D214">
        <v>116139.64779999999</v>
      </c>
    </row>
    <row r="215" spans="1:4" x14ac:dyDescent="0.25">
      <c r="A215" t="str">
        <f>"00251"</f>
        <v>00251</v>
      </c>
      <c r="B215" t="str">
        <f>"ALBALUX  2 EN 1 MARRON - 01 L - ALBA"</f>
        <v>ALBALUX  2 EN 1 MARRON - 01 L - ALBA</v>
      </c>
      <c r="C215">
        <v>16640.27</v>
      </c>
      <c r="D215">
        <v>20134.726699999999</v>
      </c>
    </row>
    <row r="216" spans="1:4" x14ac:dyDescent="0.25">
      <c r="A216" t="str">
        <f>"00253"</f>
        <v>00253</v>
      </c>
      <c r="B216" t="str">
        <f>"ALBALUX  2 EN 1 MARTILL GR PLATA - 01 L - ALBA"</f>
        <v>ALBALUX  2 EN 1 MARTILL GR PLATA - 01 L - ALBA</v>
      </c>
      <c r="C216">
        <v>27835.040000000001</v>
      </c>
      <c r="D216">
        <v>33680.398399999998</v>
      </c>
    </row>
    <row r="217" spans="1:4" x14ac:dyDescent="0.25">
      <c r="A217" t="str">
        <f>"00254"</f>
        <v>00254</v>
      </c>
      <c r="B217" t="str">
        <f>"ALBALUX  2 EN 1 MARTILL GR PLATA - 04 L - ALBA"</f>
        <v>ALBALUX  2 EN 1 MARTILL GR PLATA - 04 L - ALBA</v>
      </c>
      <c r="C217">
        <v>95983.18</v>
      </c>
      <c r="D217">
        <v>116139.64779999999</v>
      </c>
    </row>
    <row r="218" spans="1:4" x14ac:dyDescent="0.25">
      <c r="A218" t="str">
        <f>"00255"</f>
        <v>00255</v>
      </c>
      <c r="B218" t="str">
        <f>"ALBALUX  2 EN 1 MARTILL GRIS - 01 L - ALBA"</f>
        <v>ALBALUX  2 EN 1 MARTILL GRIS - 01 L - ALBA</v>
      </c>
      <c r="C218">
        <v>27835.040000000001</v>
      </c>
      <c r="D218">
        <v>33680.398399999998</v>
      </c>
    </row>
    <row r="219" spans="1:4" x14ac:dyDescent="0.25">
      <c r="A219" t="str">
        <f>"00256"</f>
        <v>00256</v>
      </c>
      <c r="B219" t="str">
        <f>"ALBALUX  2 EN 1 MARTILL GRIS - 04 L - ALBA"</f>
        <v>ALBALUX  2 EN 1 MARTILL GRIS - 04 L - ALBA</v>
      </c>
      <c r="C219">
        <v>95983.18</v>
      </c>
      <c r="D219">
        <v>116139.64779999999</v>
      </c>
    </row>
    <row r="220" spans="1:4" x14ac:dyDescent="0.25">
      <c r="A220" t="str">
        <f>"00257"</f>
        <v>00257</v>
      </c>
      <c r="B220" t="str">
        <f>"ALBALUX  2 EN 1 MARTILL NEGRO - 01 L - ALBA"</f>
        <v>ALBALUX  2 EN 1 MARTILL NEGRO - 01 L - ALBA</v>
      </c>
      <c r="C220">
        <v>27835.040000000001</v>
      </c>
      <c r="D220">
        <v>33680.398399999998</v>
      </c>
    </row>
    <row r="221" spans="1:4" x14ac:dyDescent="0.25">
      <c r="A221" t="str">
        <f>"00258"</f>
        <v>00258</v>
      </c>
      <c r="B221" t="str">
        <f>"ALBALUX  2 EN 1 MARTILL NEGRO - 04 L - ALBA"</f>
        <v>ALBALUX  2 EN 1 MARTILL NEGRO - 04 L - ALBA</v>
      </c>
      <c r="C221">
        <v>95983.18</v>
      </c>
      <c r="D221">
        <v>116139.64779999999</v>
      </c>
    </row>
    <row r="222" spans="1:4" x14ac:dyDescent="0.25">
      <c r="A222" t="str">
        <f>"00259"</f>
        <v>00259</v>
      </c>
      <c r="B222" t="str">
        <f>"ALBALUX  2 EN 1 NEGRO -  500 ML - ALBA"</f>
        <v>ALBALUX  2 EN 1 NEGRO -  500 ML - ALBA</v>
      </c>
      <c r="C222">
        <v>11949.98</v>
      </c>
      <c r="D222">
        <v>14459.475799999998</v>
      </c>
    </row>
    <row r="223" spans="1:4" x14ac:dyDescent="0.25">
      <c r="A223" t="str">
        <f>"00260"</f>
        <v>00260</v>
      </c>
      <c r="B223" t="str">
        <f>"ALBALUX  2 EN 1 NEGRO - 01 L - ALBA"</f>
        <v>ALBALUX  2 EN 1 NEGRO - 01 L - ALBA</v>
      </c>
      <c r="C223">
        <v>16640.27</v>
      </c>
      <c r="D223">
        <v>20134.726699999999</v>
      </c>
    </row>
    <row r="224" spans="1:4" x14ac:dyDescent="0.25">
      <c r="A224" t="str">
        <f>"00261"</f>
        <v>00261</v>
      </c>
      <c r="B224" t="str">
        <f>"ALBALUX  2 EN 1 NEGRO - 04 L - ALBA"</f>
        <v>ALBALUX  2 EN 1 NEGRO - 04 L - ALBA</v>
      </c>
      <c r="C224">
        <v>59281.61</v>
      </c>
      <c r="D224">
        <v>71730.748099999997</v>
      </c>
    </row>
    <row r="225" spans="1:4" x14ac:dyDescent="0.25">
      <c r="A225" t="str">
        <f>"00264"</f>
        <v>00264</v>
      </c>
      <c r="B225" t="str">
        <f>"ALBALUX  2 EN 1 VERDE INGLES - 01 L - ALBA"</f>
        <v>ALBALUX  2 EN 1 VERDE INGLES - 01 L - ALBA</v>
      </c>
      <c r="C225">
        <v>16640.27</v>
      </c>
      <c r="D225">
        <v>20134.726699999999</v>
      </c>
    </row>
    <row r="226" spans="1:4" x14ac:dyDescent="0.25">
      <c r="A226" t="str">
        <f>"00265"</f>
        <v>00265</v>
      </c>
      <c r="B226" t="str">
        <f>"ALBALUX  2 EN 1 VERDE INGLES - 04 L - ALBA"</f>
        <v>ALBALUX  2 EN 1 VERDE INGLES - 04 L - ALBA</v>
      </c>
      <c r="C226">
        <v>59281.61</v>
      </c>
      <c r="D226">
        <v>71730.748099999997</v>
      </c>
    </row>
    <row r="227" spans="1:4" x14ac:dyDescent="0.25">
      <c r="A227" t="str">
        <f>"00270"</f>
        <v>00270</v>
      </c>
      <c r="B227" t="str">
        <f>"ALBALUX BALANCE AZUL MARINO - 01 L - ALBA"</f>
        <v>ALBALUX BALANCE AZUL MARINO - 01 L - ALBA</v>
      </c>
      <c r="C227">
        <v>22055.78</v>
      </c>
      <c r="D227">
        <v>26687.493799999997</v>
      </c>
    </row>
    <row r="228" spans="1:4" x14ac:dyDescent="0.25">
      <c r="A228" t="str">
        <f>"00271"</f>
        <v>00271</v>
      </c>
      <c r="B228" t="str">
        <f>"ALBALUX BALANCE AZUL MARINO - 04 L - ALBA"</f>
        <v>ALBALUX BALANCE AZUL MARINO - 04 L - ALBA</v>
      </c>
      <c r="C228">
        <v>76052.95</v>
      </c>
      <c r="D228">
        <v>92024.069499999998</v>
      </c>
    </row>
    <row r="229" spans="1:4" x14ac:dyDescent="0.25">
      <c r="A229" t="str">
        <f>"00272"</f>
        <v>00272</v>
      </c>
      <c r="B229" t="str">
        <f>"ALBALUX BALANCE BASE MF -  900 ML - ALBA"</f>
        <v>ALBALUX BALANCE BASE MF -  900 ML - ALBA</v>
      </c>
      <c r="C229">
        <v>17203.21</v>
      </c>
      <c r="D229">
        <v>20815.884099999999</v>
      </c>
    </row>
    <row r="230" spans="1:4" x14ac:dyDescent="0.25">
      <c r="A230" t="str">
        <f>"00273"</f>
        <v>00273</v>
      </c>
      <c r="B230" t="str">
        <f>"ALBALUX BALANCE BASE MF - 03,6 L - ALBA"</f>
        <v>ALBALUX BALANCE BASE MF - 03,6 L - ALBA</v>
      </c>
      <c r="C230">
        <v>59321.75</v>
      </c>
      <c r="D230">
        <v>71779.317500000005</v>
      </c>
    </row>
    <row r="231" spans="1:4" x14ac:dyDescent="0.25">
      <c r="A231" t="str">
        <f>"00274"</f>
        <v>00274</v>
      </c>
      <c r="B231" t="str">
        <f>"ALBALUX BALANCE BASE T -  900 ML - ALBA"</f>
        <v>ALBALUX BALANCE BASE T -  900 ML - ALBA</v>
      </c>
      <c r="C231">
        <v>15438.54</v>
      </c>
      <c r="D231">
        <v>18680.633399999999</v>
      </c>
    </row>
    <row r="232" spans="1:4" x14ac:dyDescent="0.25">
      <c r="A232" t="str">
        <f>"00275"</f>
        <v>00275</v>
      </c>
      <c r="B232" t="str">
        <f>"ALBALUX BALANCE BASE T - 03,6 L - ALBA"</f>
        <v>ALBALUX BALANCE BASE T - 03,6 L - ALBA</v>
      </c>
      <c r="C232">
        <v>53236.66</v>
      </c>
      <c r="D232">
        <v>64416.3586</v>
      </c>
    </row>
    <row r="233" spans="1:4" x14ac:dyDescent="0.25">
      <c r="A233" t="str">
        <f>"00280"</f>
        <v>00280</v>
      </c>
      <c r="B233" t="str">
        <f>"ALBALUX BALANCE BLANCO - 01 L - ALBA"</f>
        <v>ALBALUX BALANCE BLANCO - 01 L - ALBA</v>
      </c>
      <c r="C233">
        <v>22055.78</v>
      </c>
      <c r="D233">
        <v>26687.493799999997</v>
      </c>
    </row>
    <row r="234" spans="1:4" x14ac:dyDescent="0.25">
      <c r="A234" t="str">
        <f>"00281"</f>
        <v>00281</v>
      </c>
      <c r="B234" t="str">
        <f>"ALBALUX BALANCE BLANCO - 04 L - ALBA"</f>
        <v>ALBALUX BALANCE BLANCO - 04 L - ALBA</v>
      </c>
      <c r="C234">
        <v>76052.95</v>
      </c>
      <c r="D234">
        <v>92024.069499999998</v>
      </c>
    </row>
    <row r="235" spans="1:4" x14ac:dyDescent="0.25">
      <c r="A235" t="str">
        <f>"00282"</f>
        <v>00282</v>
      </c>
      <c r="B235" t="str">
        <f>"ALBALUX BALANCE BLANCO - 20 L - ALBA"</f>
        <v>ALBALUX BALANCE BLANCO - 20 L - ALBA</v>
      </c>
      <c r="C235">
        <v>342238.27</v>
      </c>
      <c r="D235">
        <v>414108.30670000002</v>
      </c>
    </row>
    <row r="236" spans="1:4" x14ac:dyDescent="0.25">
      <c r="A236" t="str">
        <f>"00292"</f>
        <v>00292</v>
      </c>
      <c r="B236" t="str">
        <f>"ALBALUX BALANCE NEGRO - 01 L - ALBA"</f>
        <v>ALBALUX BALANCE NEGRO - 01 L - ALBA</v>
      </c>
      <c r="C236">
        <v>18746.650000000001</v>
      </c>
      <c r="D236">
        <v>22683.446500000002</v>
      </c>
    </row>
    <row r="237" spans="1:4" x14ac:dyDescent="0.25">
      <c r="A237" t="str">
        <f>"00293"</f>
        <v>00293</v>
      </c>
      <c r="B237" t="str">
        <f>"ALBALUX BALANCE NEGRO - 04 L - ALBA"</f>
        <v>ALBALUX BALANCE NEGRO - 04 L - ALBA</v>
      </c>
      <c r="C237">
        <v>64645.31</v>
      </c>
      <c r="D237">
        <v>78220.825100000002</v>
      </c>
    </row>
    <row r="238" spans="1:4" x14ac:dyDescent="0.25">
      <c r="A238" t="str">
        <f>"00296"</f>
        <v>00296</v>
      </c>
      <c r="B238" t="str">
        <f>"ALBALUX BALANCE TRAFUL - 04 L - ALBA"</f>
        <v>ALBALUX BALANCE TRAFUL - 04 L - ALBA</v>
      </c>
      <c r="C238">
        <v>76052.95</v>
      </c>
      <c r="D238">
        <v>92024.069499999998</v>
      </c>
    </row>
    <row r="239" spans="1:4" x14ac:dyDescent="0.25">
      <c r="A239" t="str">
        <f>"00303"</f>
        <v>00303</v>
      </c>
      <c r="B239" t="str">
        <f>"ALBALUX DIAM 3EN1 ALUMINIO -  500 ML - ALBA"</f>
        <v>ALBALUX DIAM 3EN1 ALUMINIO -  500 ML - ALBA</v>
      </c>
      <c r="C239">
        <v>14066.36</v>
      </c>
      <c r="D239">
        <v>17020.295600000001</v>
      </c>
    </row>
    <row r="240" spans="1:4" x14ac:dyDescent="0.25">
      <c r="A240" t="str">
        <f>"00304"</f>
        <v>00304</v>
      </c>
      <c r="B240" t="str">
        <f>"ALBALUX DIAM 3EN1 ALUMINIO - 01 L - ALBA"</f>
        <v>ALBALUX DIAM 3EN1 ALUMINIO - 01 L - ALBA</v>
      </c>
      <c r="C240">
        <v>23995.8</v>
      </c>
      <c r="D240">
        <v>29034.917999999998</v>
      </c>
    </row>
    <row r="241" spans="1:4" x14ac:dyDescent="0.25">
      <c r="A241" t="str">
        <f>"00305"</f>
        <v>00305</v>
      </c>
      <c r="B241" t="str">
        <f>"ALBALUX DIAM 3EN1 ALUMINIO - 04 L - ALBA"</f>
        <v>ALBALUX DIAM 3EN1 ALUMINIO - 04 L - ALBA</v>
      </c>
      <c r="C241">
        <v>82742.570000000007</v>
      </c>
      <c r="D241">
        <v>100118.50970000001</v>
      </c>
    </row>
    <row r="242" spans="1:4" x14ac:dyDescent="0.25">
      <c r="A242" t="str">
        <f>"00306"</f>
        <v>00306</v>
      </c>
      <c r="B242" t="str">
        <f>"ALBALUX DIAM 3EN1 AMARILLO -  500 ML - ALBA"</f>
        <v>ALBALUX DIAM 3EN1 AMARILLO -  500 ML - ALBA</v>
      </c>
      <c r="C242">
        <v>14066.36</v>
      </c>
      <c r="D242">
        <v>17020.295600000001</v>
      </c>
    </row>
    <row r="243" spans="1:4" x14ac:dyDescent="0.25">
      <c r="A243" t="str">
        <f>"00307"</f>
        <v>00307</v>
      </c>
      <c r="B243" t="str">
        <f>"ALBALUX DIAM 3EN1 AMARILLO - 01 L - ALBA"</f>
        <v>ALBALUX DIAM 3EN1 AMARILLO - 01 L - ALBA</v>
      </c>
      <c r="C243">
        <v>23995.8</v>
      </c>
      <c r="D243">
        <v>29034.917999999998</v>
      </c>
    </row>
    <row r="244" spans="1:4" x14ac:dyDescent="0.25">
      <c r="A244" t="str">
        <f>"00308"</f>
        <v>00308</v>
      </c>
      <c r="B244" t="str">
        <f>"ALBALUX DIAM 3EN1 AMARILLO - 04 L - ALBA"</f>
        <v>ALBALUX DIAM 3EN1 AMARILLO - 04 L - ALBA</v>
      </c>
      <c r="C244">
        <v>82742.570000000007</v>
      </c>
      <c r="D244">
        <v>100118.50970000001</v>
      </c>
    </row>
    <row r="245" spans="1:4" x14ac:dyDescent="0.25">
      <c r="A245" t="str">
        <f>"00309"</f>
        <v>00309</v>
      </c>
      <c r="B245" t="str">
        <f>"ALBALUX DIAM 3EN1 AMARILLO MEDIANO- 01 L - ALBA"</f>
        <v>ALBALUX DIAM 3EN1 AMARILLO MEDIANO- 01 L - ALBA</v>
      </c>
      <c r="C245">
        <v>23995.8</v>
      </c>
      <c r="D245">
        <v>29034.917999999998</v>
      </c>
    </row>
    <row r="246" spans="1:4" x14ac:dyDescent="0.25">
      <c r="A246" t="str">
        <f>"00310"</f>
        <v>00310</v>
      </c>
      <c r="B246" t="str">
        <f>"ALBALUX DIAM 3EN1 AMARILLO MEDIANO- 04 L - ALBA"</f>
        <v>ALBALUX DIAM 3EN1 AMARILLO MEDIANO- 04 L - ALBA</v>
      </c>
      <c r="C246">
        <v>82742.570000000007</v>
      </c>
      <c r="D246">
        <v>100118.50970000001</v>
      </c>
    </row>
    <row r="247" spans="1:4" x14ac:dyDescent="0.25">
      <c r="A247" t="str">
        <f>"00311"</f>
        <v>00311</v>
      </c>
      <c r="B247" t="str">
        <f>"ALBALUX DIAM 3EN1 AZUL MARINO -  500 ML - ALBA"</f>
        <v>ALBALUX DIAM 3EN1 AZUL MARINO -  500 ML - ALBA</v>
      </c>
      <c r="C247">
        <v>11252.68</v>
      </c>
      <c r="D247">
        <v>13615.7428</v>
      </c>
    </row>
    <row r="248" spans="1:4" x14ac:dyDescent="0.25">
      <c r="A248" t="str">
        <f>"00312"</f>
        <v>00312</v>
      </c>
      <c r="B248" t="str">
        <f>"ALBALUX DIAM 3EN1 AZUL MARINO - 01 L - ALBA"</f>
        <v>ALBALUX DIAM 3EN1 AZUL MARINO - 01 L - ALBA</v>
      </c>
      <c r="C248">
        <v>19196.23</v>
      </c>
      <c r="D248">
        <v>23227.438299999998</v>
      </c>
    </row>
    <row r="249" spans="1:4" x14ac:dyDescent="0.25">
      <c r="A249" t="str">
        <f>"00313"</f>
        <v>00313</v>
      </c>
      <c r="B249" t="str">
        <f>"ALBALUX DIAM 3EN1 AZUL MARINO - 04 L - ALBA"</f>
        <v>ALBALUX DIAM 3EN1 AZUL MARINO - 04 L - ALBA</v>
      </c>
      <c r="C249">
        <v>66193.86</v>
      </c>
      <c r="D249">
        <v>80094.570599999992</v>
      </c>
    </row>
    <row r="250" spans="1:4" x14ac:dyDescent="0.25">
      <c r="A250" t="str">
        <f>"00314"</f>
        <v>00314</v>
      </c>
      <c r="B250" t="str">
        <f>"ALBALUX DIAM 3EN1 AZULEJO - 01 L - ALBA"</f>
        <v>ALBALUX DIAM 3EN1 AZULEJO - 01 L - ALBA</v>
      </c>
      <c r="C250">
        <v>19196.23</v>
      </c>
      <c r="D250">
        <v>23227.438299999998</v>
      </c>
    </row>
    <row r="251" spans="1:4" x14ac:dyDescent="0.25">
      <c r="A251" t="str">
        <f>"00315"</f>
        <v>00315</v>
      </c>
      <c r="B251" t="str">
        <f>"ALBALUX DIAM 3EN1 AZULEJO - 04 L - ALBA"</f>
        <v>ALBALUX DIAM 3EN1 AZULEJO - 04 L - ALBA</v>
      </c>
      <c r="C251">
        <v>66193.86</v>
      </c>
      <c r="D251">
        <v>80094.570599999992</v>
      </c>
    </row>
    <row r="252" spans="1:4" x14ac:dyDescent="0.25">
      <c r="A252" t="str">
        <f>"00316"</f>
        <v>00316</v>
      </c>
      <c r="B252" t="str">
        <f>"ALBALUX DIAM 3EN1 BASE F -  900 ML - ALBA"</f>
        <v>ALBALUX DIAM 3EN1 BASE F -  900 ML - ALBA</v>
      </c>
      <c r="C252">
        <v>14972.65</v>
      </c>
      <c r="D252">
        <v>18116.906499999997</v>
      </c>
    </row>
    <row r="253" spans="1:4" x14ac:dyDescent="0.25">
      <c r="A253" t="str">
        <f>"00317"</f>
        <v>00317</v>
      </c>
      <c r="B253" t="str">
        <f>"ALBALUX DIAM 3EN1 BASE F - 03,6 L - ALBA"</f>
        <v>ALBALUX DIAM 3EN1 BASE F - 03,6 L - ALBA</v>
      </c>
      <c r="C253">
        <v>51631.02</v>
      </c>
      <c r="D253">
        <v>62473.534199999995</v>
      </c>
    </row>
    <row r="254" spans="1:4" x14ac:dyDescent="0.25">
      <c r="A254" t="str">
        <f>"00318"</f>
        <v>00318</v>
      </c>
      <c r="B254" t="str">
        <f>"ALBALUX DIAM 3EN1 BASE F - 17,4 L - ALBA"</f>
        <v>ALBALUX DIAM 3EN1 BASE F - 17,4 L - ALBA</v>
      </c>
      <c r="C254">
        <v>232339.61</v>
      </c>
      <c r="D254">
        <v>281130.92809999996</v>
      </c>
    </row>
    <row r="255" spans="1:4" x14ac:dyDescent="0.25">
      <c r="A255" t="str">
        <f>"00319"</f>
        <v>00319</v>
      </c>
      <c r="B255" t="str">
        <f>"ALBALUX DIAM 3EN1 BASE P -  900 ML - ALBA"</f>
        <v>ALBALUX DIAM 3EN1 BASE P -  900 ML - ALBA</v>
      </c>
      <c r="C255">
        <v>16508.96</v>
      </c>
      <c r="D255">
        <v>19975.8416</v>
      </c>
    </row>
    <row r="256" spans="1:4" x14ac:dyDescent="0.25">
      <c r="A256" t="str">
        <f>"00320"</f>
        <v>00320</v>
      </c>
      <c r="B256" t="str">
        <f>"ALBALUX DIAM 3EN1 BASE P - 03,6 L - ALBA"</f>
        <v>ALBALUX DIAM 3EN1 BASE P - 03,6 L - ALBA</v>
      </c>
      <c r="C256">
        <v>56927.06</v>
      </c>
      <c r="D256">
        <v>68881.742599999998</v>
      </c>
    </row>
    <row r="257" spans="1:4" x14ac:dyDescent="0.25">
      <c r="A257" t="str">
        <f>"00321"</f>
        <v>00321</v>
      </c>
      <c r="B257" t="str">
        <f>"ALBALUX DIAM 3EN1 BASE P - 17,4 L - ALBA"</f>
        <v>ALBALUX DIAM 3EN1 BASE P - 17,4 L - ALBA</v>
      </c>
      <c r="C257">
        <v>256172.29</v>
      </c>
      <c r="D257">
        <v>309968.47090000001</v>
      </c>
    </row>
    <row r="258" spans="1:4" x14ac:dyDescent="0.25">
      <c r="A258" t="str">
        <f>"00322"</f>
        <v>00322</v>
      </c>
      <c r="B258" t="str">
        <f>"ALBALUX DIAM 3EN1 BASE T -  900 ML - ALBA"</f>
        <v>ALBALUX DIAM 3EN1 BASE T -  900 ML - ALBA</v>
      </c>
      <c r="C258">
        <v>13437.36</v>
      </c>
      <c r="D258">
        <v>16259.205599999999</v>
      </c>
    </row>
    <row r="259" spans="1:4" x14ac:dyDescent="0.25">
      <c r="A259" t="str">
        <f>"00323"</f>
        <v>00323</v>
      </c>
      <c r="B259" t="str">
        <f>"ALBALUX DIAM 3EN1 BASE T - 03,6 L - ALBA"</f>
        <v>ALBALUX DIAM 3EN1 BASE T - 03,6 L - ALBA</v>
      </c>
      <c r="C259">
        <v>46336.01</v>
      </c>
      <c r="D259">
        <v>56066.572099999998</v>
      </c>
    </row>
    <row r="260" spans="1:4" x14ac:dyDescent="0.25">
      <c r="A260" t="str">
        <f>"00324"</f>
        <v>00324</v>
      </c>
      <c r="B260" t="str">
        <f>"ALBALUX DIAM 3EN1 BEIGE - 01 L - ALBA"</f>
        <v>ALBALUX DIAM 3EN1 BEIGE - 01 L - ALBA</v>
      </c>
      <c r="C260">
        <v>16316.28</v>
      </c>
      <c r="D260">
        <v>19742.698800000002</v>
      </c>
    </row>
    <row r="261" spans="1:4" x14ac:dyDescent="0.25">
      <c r="A261" t="str">
        <f>"00325"</f>
        <v>00325</v>
      </c>
      <c r="B261" t="str">
        <f>"ALBALUX DIAM 3EN1 BEIGE - 04 L - ALBA"</f>
        <v>ALBALUX DIAM 3EN1 BEIGE - 04 L - ALBA</v>
      </c>
      <c r="C261">
        <v>56264.42</v>
      </c>
      <c r="D261">
        <v>68079.948199999999</v>
      </c>
    </row>
    <row r="262" spans="1:4" x14ac:dyDescent="0.25">
      <c r="A262" t="str">
        <f>"00326"</f>
        <v>00326</v>
      </c>
      <c r="B262" t="str">
        <f>"ALBALUX DIAM 3EN1 BERMELLON -  500 ML - ALBA"</f>
        <v>ALBALUX DIAM 3EN1 BERMELLON -  500 ML - ALBA</v>
      </c>
      <c r="C262">
        <v>14066.36</v>
      </c>
      <c r="D262">
        <v>17020.295600000001</v>
      </c>
    </row>
    <row r="263" spans="1:4" x14ac:dyDescent="0.25">
      <c r="A263" t="str">
        <f>"00327"</f>
        <v>00327</v>
      </c>
      <c r="B263" t="str">
        <f>"ALBALUX DIAM 3EN1 BERMELLON - 01 L - ALBA"</f>
        <v>ALBALUX DIAM 3EN1 BERMELLON - 01 L - ALBA</v>
      </c>
      <c r="C263">
        <v>23995.8</v>
      </c>
      <c r="D263">
        <v>29034.917999999998</v>
      </c>
    </row>
    <row r="264" spans="1:4" x14ac:dyDescent="0.25">
      <c r="A264" t="str">
        <f>"00328"</f>
        <v>00328</v>
      </c>
      <c r="B264" t="str">
        <f>"ALBALUX DIAM 3EN1 BERMELLON - 04 L - ALBA"</f>
        <v>ALBALUX DIAM 3EN1 BERMELLON - 04 L - ALBA</v>
      </c>
      <c r="C264">
        <v>82742.570000000007</v>
      </c>
      <c r="D264">
        <v>100118.50970000001</v>
      </c>
    </row>
    <row r="265" spans="1:4" x14ac:dyDescent="0.25">
      <c r="A265" t="str">
        <f>"00330"</f>
        <v>00330</v>
      </c>
      <c r="B265" t="str">
        <f>"ALBALUX DIAM 3EN1 BLANCO -  500 ML - ALBA"</f>
        <v>ALBALUX DIAM 3EN1 BLANCO -  500 ML - ALBA</v>
      </c>
      <c r="C265">
        <v>11252.68</v>
      </c>
      <c r="D265">
        <v>13615.7428</v>
      </c>
    </row>
    <row r="266" spans="1:4" x14ac:dyDescent="0.25">
      <c r="A266" t="str">
        <f>"00331"</f>
        <v>00331</v>
      </c>
      <c r="B266" t="str">
        <f>"ALBALUX DIAM 3EN1 BLANCO - 01 L - ALBA"</f>
        <v>ALBALUX DIAM 3EN1 BLANCO - 01 L - ALBA</v>
      </c>
      <c r="C266">
        <v>19196.23</v>
      </c>
      <c r="D266">
        <v>23227.438299999998</v>
      </c>
    </row>
    <row r="267" spans="1:4" x14ac:dyDescent="0.25">
      <c r="A267" t="str">
        <f>"00332"</f>
        <v>00332</v>
      </c>
      <c r="B267" t="str">
        <f>"ALBALUX DIAM 3EN1 BLANCO - 04 L - ALBA"</f>
        <v>ALBALUX DIAM 3EN1 BLANCO - 04 L - ALBA</v>
      </c>
      <c r="C267">
        <v>66193.86</v>
      </c>
      <c r="D267">
        <v>80094.570599999992</v>
      </c>
    </row>
    <row r="268" spans="1:4" x14ac:dyDescent="0.25">
      <c r="A268" t="str">
        <f>"00333"</f>
        <v>00333</v>
      </c>
      <c r="B268" t="str">
        <f>"ALBALUX DIAM 3EN1 BLANCO - 20 L - ALBA"</f>
        <v>ALBALUX DIAM 3EN1 BLANCO - 20 L - ALBA</v>
      </c>
      <c r="C268">
        <v>297872.86</v>
      </c>
      <c r="D268">
        <v>360426.16059999994</v>
      </c>
    </row>
    <row r="269" spans="1:4" x14ac:dyDescent="0.25">
      <c r="A269" t="str">
        <f>"00334"</f>
        <v>00334</v>
      </c>
      <c r="B269" t="str">
        <f>"ALBALUX DIAM 3EN1 CARMIN - 01 L - ALBA"</f>
        <v>ALBALUX DIAM 3EN1 CARMIN - 01 L - ALBA</v>
      </c>
      <c r="C269">
        <v>19196.23</v>
      </c>
      <c r="D269">
        <v>23227.438299999998</v>
      </c>
    </row>
    <row r="270" spans="1:4" x14ac:dyDescent="0.25">
      <c r="A270" t="str">
        <f>"00335"</f>
        <v>00335</v>
      </c>
      <c r="B270" t="str">
        <f>"ALBALUX DIAM 3EN1 CARMIN - 04 L - ALBA"</f>
        <v>ALBALUX DIAM 3EN1 CARMIN - 04 L - ALBA</v>
      </c>
      <c r="C270">
        <v>66193.86</v>
      </c>
      <c r="D270">
        <v>80094.570599999992</v>
      </c>
    </row>
    <row r="271" spans="1:4" x14ac:dyDescent="0.25">
      <c r="A271" t="str">
        <f>"00336"</f>
        <v>00336</v>
      </c>
      <c r="B271" t="str">
        <f>"ALBALUX DIAM 3EN1 CEDRO -  500 ML - ALBA"</f>
        <v>ALBALUX DIAM 3EN1 CEDRO -  500 ML - ALBA</v>
      </c>
      <c r="C271">
        <v>9564.4699999999993</v>
      </c>
      <c r="D271">
        <v>11573.008699999998</v>
      </c>
    </row>
    <row r="272" spans="1:4" x14ac:dyDescent="0.25">
      <c r="A272" t="str">
        <f>"00337"</f>
        <v>00337</v>
      </c>
      <c r="B272" t="str">
        <f>"ALBALUX DIAM 3EN1 CEDRO - 01 L - ALBA"</f>
        <v>ALBALUX DIAM 3EN1 CEDRO - 01 L - ALBA</v>
      </c>
      <c r="C272">
        <v>16316.28</v>
      </c>
      <c r="D272">
        <v>19742.698800000002</v>
      </c>
    </row>
    <row r="273" spans="1:4" x14ac:dyDescent="0.25">
      <c r="A273" t="str">
        <f>"00338"</f>
        <v>00338</v>
      </c>
      <c r="B273" t="str">
        <f>"ALBALUX DIAM 3EN1 CEDRO - 04 L - ALBA"</f>
        <v>ALBALUX DIAM 3EN1 CEDRO - 04 L - ALBA</v>
      </c>
      <c r="C273">
        <v>56264.42</v>
      </c>
      <c r="D273">
        <v>68079.948199999999</v>
      </c>
    </row>
    <row r="274" spans="1:4" x14ac:dyDescent="0.25">
      <c r="A274" t="str">
        <f>"00339"</f>
        <v>00339</v>
      </c>
      <c r="B274" t="str">
        <f>"ALBALUX DIAM 3EN1 ESMERALDA - 01 L - ALBA"</f>
        <v>ALBALUX DIAM 3EN1 ESMERALDA - 01 L - ALBA</v>
      </c>
      <c r="C274">
        <v>16316.28</v>
      </c>
      <c r="D274">
        <v>19742.698800000002</v>
      </c>
    </row>
    <row r="275" spans="1:4" x14ac:dyDescent="0.25">
      <c r="A275" t="str">
        <f>"00340"</f>
        <v>00340</v>
      </c>
      <c r="B275" t="str">
        <f>"ALBALUX DIAM 3EN1 ESMERALDA - 04 L - ALBA"</f>
        <v>ALBALUX DIAM 3EN1 ESMERALDA - 04 L - ALBA</v>
      </c>
      <c r="C275">
        <v>56264.42</v>
      </c>
      <c r="D275">
        <v>68079.948199999999</v>
      </c>
    </row>
    <row r="276" spans="1:4" x14ac:dyDescent="0.25">
      <c r="A276" t="str">
        <f>"00341"</f>
        <v>00341</v>
      </c>
      <c r="B276" t="str">
        <f>"ALBALUX DIAM 3EN1 GRIS -  500 ML - ALBA"</f>
        <v>ALBALUX DIAM 3EN1 GRIS -  500 ML - ALBA</v>
      </c>
      <c r="C276">
        <v>9564.4699999999993</v>
      </c>
      <c r="D276">
        <v>11573.008699999998</v>
      </c>
    </row>
    <row r="277" spans="1:4" x14ac:dyDescent="0.25">
      <c r="A277" t="str">
        <f>"00342"</f>
        <v>00342</v>
      </c>
      <c r="B277" t="str">
        <f>"ALBALUX DIAM 3EN1 GRIS - 01 L - ALBA"</f>
        <v>ALBALUX DIAM 3EN1 GRIS - 01 L - ALBA</v>
      </c>
      <c r="C277">
        <v>16316.28</v>
      </c>
      <c r="D277">
        <v>19742.698800000002</v>
      </c>
    </row>
    <row r="278" spans="1:4" x14ac:dyDescent="0.25">
      <c r="A278" t="str">
        <f>"00343"</f>
        <v>00343</v>
      </c>
      <c r="B278" t="str">
        <f>"ALBALUX DIAM 3EN1 GRIS - 04 L - ALBA"</f>
        <v>ALBALUX DIAM 3EN1 GRIS - 04 L - ALBA</v>
      </c>
      <c r="C278">
        <v>56264.42</v>
      </c>
      <c r="D278">
        <v>68079.948199999999</v>
      </c>
    </row>
    <row r="279" spans="1:4" x14ac:dyDescent="0.25">
      <c r="A279" t="str">
        <f>"00344"</f>
        <v>00344</v>
      </c>
      <c r="B279" t="str">
        <f>"ALBALUX DIAM 3EN1 GRIS ESPACIAL - 01 L - ALBA"</f>
        <v>ALBALUX DIAM 3EN1 GRIS ESPACIAL - 01 L - ALBA</v>
      </c>
      <c r="C279">
        <v>19196.23</v>
      </c>
      <c r="D279">
        <v>23227.438299999998</v>
      </c>
    </row>
    <row r="280" spans="1:4" x14ac:dyDescent="0.25">
      <c r="A280" t="str">
        <f>"00345"</f>
        <v>00345</v>
      </c>
      <c r="B280" t="str">
        <f>"ALBALUX DIAM 3EN1 GRIS ESPACIAL - 04 L - ALBA"</f>
        <v>ALBALUX DIAM 3EN1 GRIS ESPACIAL - 04 L - ALBA</v>
      </c>
      <c r="C280">
        <v>66193.86</v>
      </c>
      <c r="D280">
        <v>80094.570599999992</v>
      </c>
    </row>
    <row r="281" spans="1:4" x14ac:dyDescent="0.25">
      <c r="A281" t="str">
        <f>"00346"</f>
        <v>00346</v>
      </c>
      <c r="B281" t="str">
        <f>"ALBALUX DIAM 3EN1 GRIS HIELO - 01 L - ALBA"</f>
        <v>ALBALUX DIAM 3EN1 GRIS HIELO - 01 L - ALBA</v>
      </c>
      <c r="C281">
        <v>19196.23</v>
      </c>
      <c r="D281">
        <v>23227.438299999998</v>
      </c>
    </row>
    <row r="282" spans="1:4" x14ac:dyDescent="0.25">
      <c r="A282" t="str">
        <f>"00347"</f>
        <v>00347</v>
      </c>
      <c r="B282" t="str">
        <f>"ALBALUX DIAM 3EN1 GRIS HIELO - 04 L - ALBA"</f>
        <v>ALBALUX DIAM 3EN1 GRIS HIELO - 04 L - ALBA</v>
      </c>
      <c r="C282">
        <v>66193.86</v>
      </c>
      <c r="D282">
        <v>80094.570599999992</v>
      </c>
    </row>
    <row r="283" spans="1:4" x14ac:dyDescent="0.25">
      <c r="A283" t="str">
        <f>"00348"</f>
        <v>00348</v>
      </c>
      <c r="B283" t="str">
        <f>"ALBALUX DIAM 3EN1 MARFIL CHAMPAGNE- 01 L - ALBA"</f>
        <v>ALBALUX DIAM 3EN1 MARFIL CHAMPAGNE- 01 L - ALBA</v>
      </c>
      <c r="C283">
        <v>19196.23</v>
      </c>
      <c r="D283">
        <v>23227.438299999998</v>
      </c>
    </row>
    <row r="284" spans="1:4" x14ac:dyDescent="0.25">
      <c r="A284" t="str">
        <f>"00349"</f>
        <v>00349</v>
      </c>
      <c r="B284" t="str">
        <f>"ALBALUX DIAM 3EN1 MARFIL CHAMPAGNE- 04 L - ALBA"</f>
        <v>ALBALUX DIAM 3EN1 MARFIL CHAMPAGNE- 04 L - ALBA</v>
      </c>
      <c r="C284">
        <v>66193.86</v>
      </c>
      <c r="D284">
        <v>80094.570599999992</v>
      </c>
    </row>
    <row r="285" spans="1:4" x14ac:dyDescent="0.25">
      <c r="A285" t="str">
        <f>"00350"</f>
        <v>00350</v>
      </c>
      <c r="B285" t="str">
        <f>"ALBALUX DIAM 3EN1 MARFIL SEDA - 01 L - ALBA"</f>
        <v>ALBALUX DIAM 3EN1 MARFIL SEDA - 01 L - ALBA</v>
      </c>
      <c r="C285">
        <v>19196.23</v>
      </c>
      <c r="D285">
        <v>23227.438299999998</v>
      </c>
    </row>
    <row r="286" spans="1:4" x14ac:dyDescent="0.25">
      <c r="A286" t="str">
        <f>"00351"</f>
        <v>00351</v>
      </c>
      <c r="B286" t="str">
        <f>"ALBALUX DIAM 3EN1 MARFIL SEDA - 04 L - ALBA"</f>
        <v>ALBALUX DIAM 3EN1 MARFIL SEDA - 04 L - ALBA</v>
      </c>
      <c r="C286">
        <v>66193.86</v>
      </c>
      <c r="D286">
        <v>80094.570599999992</v>
      </c>
    </row>
    <row r="287" spans="1:4" x14ac:dyDescent="0.25">
      <c r="A287" t="str">
        <f>"00352"</f>
        <v>00352</v>
      </c>
      <c r="B287" t="str">
        <f>"ALBALUX DIAM 3EN1 MARRON -  500 ML - ALBA"</f>
        <v>ALBALUX DIAM 3EN1 MARRON -  500 ML - ALBA</v>
      </c>
      <c r="C287">
        <v>9564.4699999999993</v>
      </c>
      <c r="D287">
        <v>11573.008699999998</v>
      </c>
    </row>
    <row r="288" spans="1:4" x14ac:dyDescent="0.25">
      <c r="A288" t="str">
        <f>"00353"</f>
        <v>00353</v>
      </c>
      <c r="B288" t="str">
        <f>"ALBALUX DIAM 3EN1 MARRON - 01 L - ALBA"</f>
        <v>ALBALUX DIAM 3EN1 MARRON - 01 L - ALBA</v>
      </c>
      <c r="C288">
        <v>16316.28</v>
      </c>
      <c r="D288">
        <v>19742.698800000002</v>
      </c>
    </row>
    <row r="289" spans="1:4" x14ac:dyDescent="0.25">
      <c r="A289" t="str">
        <f>"00354"</f>
        <v>00354</v>
      </c>
      <c r="B289" t="str">
        <f>"ALBALUX DIAM 3EN1 MARRON - 04 L - ALBA"</f>
        <v>ALBALUX DIAM 3EN1 MARRON - 04 L - ALBA</v>
      </c>
      <c r="C289">
        <v>56264.42</v>
      </c>
      <c r="D289">
        <v>68079.948199999999</v>
      </c>
    </row>
    <row r="290" spans="1:4" x14ac:dyDescent="0.25">
      <c r="A290" t="str">
        <f>"00355"</f>
        <v>00355</v>
      </c>
      <c r="B290" t="str">
        <f>"ALBALUX DIAM 3EN1 NARANJA - 01 L - ALBA"</f>
        <v>ALBALUX DIAM 3EN1 NARANJA - 01 L - ALBA</v>
      </c>
      <c r="C290">
        <v>23995.8</v>
      </c>
      <c r="D290">
        <v>29034.917999999998</v>
      </c>
    </row>
    <row r="291" spans="1:4" x14ac:dyDescent="0.25">
      <c r="A291" t="str">
        <f>"00356"</f>
        <v>00356</v>
      </c>
      <c r="B291" t="str">
        <f>"ALBALUX DIAM 3EN1 NARANJA - 04 L - ALBA"</f>
        <v>ALBALUX DIAM 3EN1 NARANJA - 04 L - ALBA</v>
      </c>
      <c r="C291">
        <v>82742.570000000007</v>
      </c>
      <c r="D291">
        <v>100118.50970000001</v>
      </c>
    </row>
    <row r="292" spans="1:4" x14ac:dyDescent="0.25">
      <c r="A292" t="str">
        <f>"00357"</f>
        <v>00357</v>
      </c>
      <c r="B292" t="str">
        <f>"ALBALUX DIAM 3EN1 NEGRO -  250 ML - ALBA"</f>
        <v>ALBALUX DIAM 3EN1 NEGRO -  250 ML - ALBA</v>
      </c>
      <c r="C292">
        <v>6189.08</v>
      </c>
      <c r="D292">
        <v>7488.7867999999999</v>
      </c>
    </row>
    <row r="293" spans="1:4" x14ac:dyDescent="0.25">
      <c r="A293" t="str">
        <f>"00358"</f>
        <v>00358</v>
      </c>
      <c r="B293" t="str">
        <f>"ALBALUX DIAM 3EN1 NEGRO -  500 ML - ALBA"</f>
        <v>ALBALUX DIAM 3EN1 NEGRO -  500 ML - ALBA</v>
      </c>
      <c r="C293">
        <v>9564.4699999999993</v>
      </c>
      <c r="D293">
        <v>11573.008699999998</v>
      </c>
    </row>
    <row r="294" spans="1:4" x14ac:dyDescent="0.25">
      <c r="A294" t="str">
        <f>"00359"</f>
        <v>00359</v>
      </c>
      <c r="B294" t="str">
        <f>"ALBALUX DIAM 3EN1 NEGRO - 01 L - ALBA"</f>
        <v>ALBALUX DIAM 3EN1 NEGRO - 01 L - ALBA</v>
      </c>
      <c r="C294">
        <v>16316.28</v>
      </c>
      <c r="D294">
        <v>19742.698800000002</v>
      </c>
    </row>
    <row r="295" spans="1:4" x14ac:dyDescent="0.25">
      <c r="A295" t="str">
        <f>"00360"</f>
        <v>00360</v>
      </c>
      <c r="B295" t="str">
        <f>"ALBALUX DIAM 3EN1 NEGRO - 04 L - ALBA"</f>
        <v>ALBALUX DIAM 3EN1 NEGRO - 04 L - ALBA</v>
      </c>
      <c r="C295">
        <v>56264.42</v>
      </c>
      <c r="D295">
        <v>68079.948199999999</v>
      </c>
    </row>
    <row r="296" spans="1:4" x14ac:dyDescent="0.25">
      <c r="A296" t="str">
        <f>"00361"</f>
        <v>00361</v>
      </c>
      <c r="B296" t="str">
        <f>"ALBALUX DIAM 3EN1 NEGRO - 20 L - ALBA"</f>
        <v>ALBALUX DIAM 3EN1 NEGRO - 20 L - ALBA</v>
      </c>
      <c r="C296">
        <v>253190.39999999999</v>
      </c>
      <c r="D296">
        <v>306360.38399999996</v>
      </c>
    </row>
    <row r="297" spans="1:4" x14ac:dyDescent="0.25">
      <c r="A297" t="str">
        <f>"00362"</f>
        <v>00362</v>
      </c>
      <c r="B297" t="str">
        <f>"ALBALUX DIAM 3EN1 OCRE - 01 L - ALBA"</f>
        <v>ALBALUX DIAM 3EN1 OCRE - 01 L - ALBA</v>
      </c>
      <c r="C297">
        <v>19196.23</v>
      </c>
      <c r="D297">
        <v>23227.438299999998</v>
      </c>
    </row>
    <row r="298" spans="1:4" x14ac:dyDescent="0.25">
      <c r="A298" t="str">
        <f>"00363"</f>
        <v>00363</v>
      </c>
      <c r="B298" t="str">
        <f>"ALBALUX DIAM 3EN1 OCRE - 04 L - ALBA"</f>
        <v>ALBALUX DIAM 3EN1 OCRE - 04 L - ALBA</v>
      </c>
      <c r="C298">
        <v>66193.86</v>
      </c>
      <c r="D298">
        <v>80094.570599999992</v>
      </c>
    </row>
    <row r="299" spans="1:4" x14ac:dyDescent="0.25">
      <c r="A299" t="str">
        <f>"00364"</f>
        <v>00364</v>
      </c>
      <c r="B299" t="str">
        <f>"ALBALUX DIAM 3EN1 PERLA - 01 L - ALBA"</f>
        <v>ALBALUX DIAM 3EN1 PERLA - 01 L - ALBA</v>
      </c>
      <c r="C299">
        <v>16316.28</v>
      </c>
      <c r="D299">
        <v>19742.698800000002</v>
      </c>
    </row>
    <row r="300" spans="1:4" x14ac:dyDescent="0.25">
      <c r="A300" t="str">
        <f>"00365"</f>
        <v>00365</v>
      </c>
      <c r="B300" t="str">
        <f>"ALBALUX DIAM 3EN1 PERLA - 04 L - ALBA"</f>
        <v>ALBALUX DIAM 3EN1 PERLA - 04 L - ALBA</v>
      </c>
      <c r="C300">
        <v>56264.42</v>
      </c>
      <c r="D300">
        <v>68079.948199999999</v>
      </c>
    </row>
    <row r="301" spans="1:4" x14ac:dyDescent="0.25">
      <c r="A301" t="str">
        <f>"00366"</f>
        <v>00366</v>
      </c>
      <c r="B301" t="str">
        <f>"ALBALUX DIAM 3EN1 TABACO -  500 ML - ALBA"</f>
        <v>ALBALUX DIAM 3EN1 TABACO -  500 ML - ALBA</v>
      </c>
      <c r="C301">
        <v>9564.4699999999993</v>
      </c>
      <c r="D301">
        <v>11573.008699999998</v>
      </c>
    </row>
    <row r="302" spans="1:4" x14ac:dyDescent="0.25">
      <c r="A302" t="str">
        <f>"00367"</f>
        <v>00367</v>
      </c>
      <c r="B302" t="str">
        <f>"ALBALUX DIAM 3EN1 TABACO - 01 L - ALBA"</f>
        <v>ALBALUX DIAM 3EN1 TABACO - 01 L - ALBA</v>
      </c>
      <c r="C302">
        <v>16316.28</v>
      </c>
      <c r="D302">
        <v>19742.698800000002</v>
      </c>
    </row>
    <row r="303" spans="1:4" x14ac:dyDescent="0.25">
      <c r="A303" t="str">
        <f>"00368"</f>
        <v>00368</v>
      </c>
      <c r="B303" t="str">
        <f>"ALBALUX DIAM 3EN1 TABACO - 04 L - ALBA"</f>
        <v>ALBALUX DIAM 3EN1 TABACO - 04 L - ALBA</v>
      </c>
      <c r="C303">
        <v>56264.42</v>
      </c>
      <c r="D303">
        <v>68079.948199999999</v>
      </c>
    </row>
    <row r="304" spans="1:4" x14ac:dyDescent="0.25">
      <c r="A304" t="str">
        <f>"00369"</f>
        <v>00369</v>
      </c>
      <c r="B304" t="str">
        <f>"ALBALUX DIAM 3EN1 TRAFUL -  500 ML - ALBA"</f>
        <v>ALBALUX DIAM 3EN1 TRAFUL -  500 ML - ALBA</v>
      </c>
      <c r="C304">
        <v>11252.68</v>
      </c>
      <c r="D304">
        <v>13615.7428</v>
      </c>
    </row>
    <row r="305" spans="1:4" x14ac:dyDescent="0.25">
      <c r="A305" t="str">
        <f>"00370"</f>
        <v>00370</v>
      </c>
      <c r="B305" t="str">
        <f>"ALBALUX DIAM 3EN1 TRAFUL - 01 L - ALBA"</f>
        <v>ALBALUX DIAM 3EN1 TRAFUL - 01 L - ALBA</v>
      </c>
      <c r="C305">
        <v>19196.23</v>
      </c>
      <c r="D305">
        <v>23227.438299999998</v>
      </c>
    </row>
    <row r="306" spans="1:4" x14ac:dyDescent="0.25">
      <c r="A306" t="str">
        <f>"00371"</f>
        <v>00371</v>
      </c>
      <c r="B306" t="str">
        <f>"ALBALUX DIAM 3EN1 TRAFUL - 04 L - ALBA"</f>
        <v>ALBALUX DIAM 3EN1 TRAFUL - 04 L - ALBA</v>
      </c>
      <c r="C306">
        <v>66193.86</v>
      </c>
      <c r="D306">
        <v>80094.570599999992</v>
      </c>
    </row>
    <row r="307" spans="1:4" x14ac:dyDescent="0.25">
      <c r="A307" t="str">
        <f>"00372"</f>
        <v>00372</v>
      </c>
      <c r="B307" t="str">
        <f>"ALBALUX DIAM 3EN1 VERDE CLARO - 01 L - ALBA"</f>
        <v>ALBALUX DIAM 3EN1 VERDE CLARO - 01 L - ALBA</v>
      </c>
      <c r="C307">
        <v>16316.28</v>
      </c>
      <c r="D307">
        <v>19742.698800000002</v>
      </c>
    </row>
    <row r="308" spans="1:4" x14ac:dyDescent="0.25">
      <c r="A308" t="str">
        <f>"00373"</f>
        <v>00373</v>
      </c>
      <c r="B308" t="str">
        <f>"ALBALUX DIAM 3EN1 VERDE CLARO - 04 L - ALBA"</f>
        <v>ALBALUX DIAM 3EN1 VERDE CLARO - 04 L - ALBA</v>
      </c>
      <c r="C308">
        <v>56264.42</v>
      </c>
      <c r="D308">
        <v>68079.948199999999</v>
      </c>
    </row>
    <row r="309" spans="1:4" x14ac:dyDescent="0.25">
      <c r="A309" t="str">
        <f>"00374"</f>
        <v>00374</v>
      </c>
      <c r="B309" t="str">
        <f>"ALBALUX DIAM 3EN1 VERDE INGLES -  500 ML - ALBA"</f>
        <v>ALBALUX DIAM 3EN1 VERDE INGLES -  500 ML - ALBA</v>
      </c>
      <c r="C309">
        <v>11252.68</v>
      </c>
      <c r="D309">
        <v>13615.7428</v>
      </c>
    </row>
    <row r="310" spans="1:4" x14ac:dyDescent="0.25">
      <c r="A310" t="str">
        <f>"00375"</f>
        <v>00375</v>
      </c>
      <c r="B310" t="str">
        <f>"ALBALUX DIAM 3EN1 VERDE INGLES - 01 L - ALBA"</f>
        <v>ALBALUX DIAM 3EN1 VERDE INGLES - 01 L - ALBA</v>
      </c>
      <c r="C310">
        <v>19196.23</v>
      </c>
      <c r="D310">
        <v>23227.438299999998</v>
      </c>
    </row>
    <row r="311" spans="1:4" x14ac:dyDescent="0.25">
      <c r="A311" t="str">
        <f>"00376"</f>
        <v>00376</v>
      </c>
      <c r="B311" t="str">
        <f>"ALBALUX DIAM 3EN1 VERDE INGLES - 04 L - ALBA"</f>
        <v>ALBALUX DIAM 3EN1 VERDE INGLES - 04 L - ALBA</v>
      </c>
      <c r="C311">
        <v>66193.86</v>
      </c>
      <c r="D311">
        <v>80094.570599999992</v>
      </c>
    </row>
    <row r="312" spans="1:4" x14ac:dyDescent="0.25">
      <c r="A312" t="str">
        <f>"00377"</f>
        <v>00377</v>
      </c>
      <c r="B312" t="str">
        <f>"ALBALUX DIAM 3EN1 VERDE NOCHE - 01 L - ALBA"</f>
        <v>ALBALUX DIAM 3EN1 VERDE NOCHE - 01 L - ALBA</v>
      </c>
      <c r="C312">
        <v>19196.23</v>
      </c>
      <c r="D312">
        <v>23227.438299999998</v>
      </c>
    </row>
    <row r="313" spans="1:4" x14ac:dyDescent="0.25">
      <c r="A313" t="str">
        <f>"00378"</f>
        <v>00378</v>
      </c>
      <c r="B313" t="str">
        <f>"ALBALUX DIAM 3EN1 VERDE NOCHE - 04 L - ALBA"</f>
        <v>ALBALUX DIAM 3EN1 VERDE NOCHE - 04 L - ALBA</v>
      </c>
      <c r="C313">
        <v>66193.86</v>
      </c>
      <c r="D313">
        <v>80094.570599999992</v>
      </c>
    </row>
    <row r="314" spans="1:4" x14ac:dyDescent="0.25">
      <c r="A314" t="str">
        <f>"00379"</f>
        <v>00379</v>
      </c>
      <c r="B314" t="str">
        <f>"ALBAMATE BLANCO - 01 L - ALBA"</f>
        <v>ALBAMATE BLANCO - 01 L - ALBA</v>
      </c>
      <c r="C314">
        <v>21357.46</v>
      </c>
      <c r="D314">
        <v>25842.526599999997</v>
      </c>
    </row>
    <row r="315" spans="1:4" x14ac:dyDescent="0.25">
      <c r="A315" t="str">
        <f>"00380"</f>
        <v>00380</v>
      </c>
      <c r="B315" t="str">
        <f>"ALBAMATE BLANCO - 04 L - ALBA"</f>
        <v>ALBAMATE BLANCO - 04 L - ALBA</v>
      </c>
      <c r="C315">
        <v>73648.070000000007</v>
      </c>
      <c r="D315">
        <v>89114.164700000008</v>
      </c>
    </row>
    <row r="316" spans="1:4" x14ac:dyDescent="0.25">
      <c r="A316" t="str">
        <f>"00384"</f>
        <v>00384</v>
      </c>
      <c r="B316" t="str">
        <f>"ALBAPLAST - 20 L - ALBA"</f>
        <v>ALBAPLAST - 20 L - ALBA</v>
      </c>
      <c r="C316">
        <v>70097.33</v>
      </c>
      <c r="D316">
        <v>84817.7693</v>
      </c>
    </row>
    <row r="317" spans="1:4" x14ac:dyDescent="0.25">
      <c r="A317" t="str">
        <f>"00385"</f>
        <v>00385</v>
      </c>
      <c r="B317" t="str">
        <f>"ALBATROS BARNIZ MARINO - 01 L - ALBA"</f>
        <v>ALBATROS BARNIZ MARINO - 01 L - ALBA</v>
      </c>
      <c r="C317">
        <v>16255.12</v>
      </c>
      <c r="D317">
        <v>19668.695200000002</v>
      </c>
    </row>
    <row r="318" spans="1:4" x14ac:dyDescent="0.25">
      <c r="A318" t="str">
        <f>"00386"</f>
        <v>00386</v>
      </c>
      <c r="B318" t="str">
        <f>"ALBATROS BARNIZ MARINO - 04 L - ALBA"</f>
        <v>ALBATROS BARNIZ MARINO - 04 L - ALBA</v>
      </c>
      <c r="C318">
        <v>56051.360000000001</v>
      </c>
      <c r="D318">
        <v>67822.145600000003</v>
      </c>
    </row>
    <row r="319" spans="1:4" x14ac:dyDescent="0.25">
      <c r="A319" t="str">
        <f>"00387"</f>
        <v>00387</v>
      </c>
      <c r="B319" t="str">
        <f>"ALBATROS DOBLE VIDA  - 01 L - ALBA"</f>
        <v>ALBATROS DOBLE VIDA  - 01 L - ALBA</v>
      </c>
      <c r="C319">
        <v>20318.64</v>
      </c>
      <c r="D319">
        <v>24585.554399999997</v>
      </c>
    </row>
    <row r="320" spans="1:4" x14ac:dyDescent="0.25">
      <c r="A320" t="str">
        <f>"00388"</f>
        <v>00388</v>
      </c>
      <c r="B320" t="str">
        <f>"ALBATROS DOBLE VIDA  - 04 L - ALBA"</f>
        <v>ALBATROS DOBLE VIDA  - 04 L - ALBA</v>
      </c>
      <c r="C320">
        <v>70063.69</v>
      </c>
      <c r="D320">
        <v>84777.064899999998</v>
      </c>
    </row>
    <row r="321" spans="1:4" x14ac:dyDescent="0.25">
      <c r="A321" t="str">
        <f>"00389"</f>
        <v>00389</v>
      </c>
      <c r="B321" t="str">
        <f>"ALBAVIAL ACRILICO SOLV AMARILLO - 04 L - ALBA"</f>
        <v>ALBAVIAL ACRILICO SOLV AMARILLO - 04 L - ALBA</v>
      </c>
      <c r="C321">
        <v>90279.360000000001</v>
      </c>
      <c r="D321">
        <v>109238.02559999999</v>
      </c>
    </row>
    <row r="322" spans="1:4" x14ac:dyDescent="0.25">
      <c r="A322" t="str">
        <f>"00390"</f>
        <v>00390</v>
      </c>
      <c r="B322" t="str">
        <f>"ALBAVIAL ACRILICO SOLV AMARILLO - 18 L - ALBA"</f>
        <v>ALBAVIAL ACRILICO SOLV AMARILLO - 18 L - ALBA</v>
      </c>
      <c r="C322">
        <v>406257.64</v>
      </c>
      <c r="D322">
        <v>491571.74440000003</v>
      </c>
    </row>
    <row r="323" spans="1:4" x14ac:dyDescent="0.25">
      <c r="A323" t="str">
        <f>"00391"</f>
        <v>00391</v>
      </c>
      <c r="B323" t="str">
        <f>"ALBAVIAL ACRILICO SOLV BLANCO - 04 L - ALBA"</f>
        <v>ALBAVIAL ACRILICO SOLV BLANCO - 04 L - ALBA</v>
      </c>
      <c r="C323">
        <v>66873.83</v>
      </c>
      <c r="D323">
        <v>80917.334300000002</v>
      </c>
    </row>
    <row r="324" spans="1:4" x14ac:dyDescent="0.25">
      <c r="A324" t="str">
        <f>"00392"</f>
        <v>00392</v>
      </c>
      <c r="B324" t="str">
        <f>"ALBAVIAL ACRILICO SOLV BLANCO - 18 L - ALBA"</f>
        <v>ALBAVIAL ACRILICO SOLV BLANCO - 18 L - ALBA</v>
      </c>
      <c r="C324">
        <v>300932.23</v>
      </c>
      <c r="D324">
        <v>364127.99829999998</v>
      </c>
    </row>
    <row r="325" spans="1:4" x14ac:dyDescent="0.25">
      <c r="A325" t="str">
        <f>"00393"</f>
        <v>00393</v>
      </c>
      <c r="B325" t="str">
        <f>"ALBAVIAL TRADICIONAL AMARILLO - 04 L - ALBA"</f>
        <v>ALBAVIAL TRADICIONAL AMARILLO - 04 L - ALBA</v>
      </c>
      <c r="C325">
        <v>80953.440000000002</v>
      </c>
      <c r="D325">
        <v>97953.662400000001</v>
      </c>
    </row>
    <row r="326" spans="1:4" x14ac:dyDescent="0.25">
      <c r="A326" t="str">
        <f>"00394"</f>
        <v>00394</v>
      </c>
      <c r="B326" t="str">
        <f>"ALBAVIAL TRADICIONAL BLANCO - 04 L - ALBA"</f>
        <v>ALBAVIAL TRADICIONAL BLANCO - 04 L - ALBA</v>
      </c>
      <c r="C326">
        <v>70393.990000000005</v>
      </c>
      <c r="D326">
        <v>85176.727899999998</v>
      </c>
    </row>
    <row r="327" spans="1:4" x14ac:dyDescent="0.25">
      <c r="A327" t="str">
        <f>"00395"</f>
        <v>00395</v>
      </c>
      <c r="B327" t="str">
        <f>"ALBLAUX AL AGUA GRIS HIELO - 04 L - ALBA"</f>
        <v>ALBLAUX AL AGUA GRIS HIELO - 04 L - ALBA</v>
      </c>
      <c r="C327">
        <v>76052.95</v>
      </c>
      <c r="D327">
        <v>92024.069499999998</v>
      </c>
    </row>
    <row r="328" spans="1:4" x14ac:dyDescent="0.25">
      <c r="A328" t="str">
        <f>"00396"</f>
        <v>00396</v>
      </c>
      <c r="B328" t="str">
        <f>"ACOTONE AMARILLO OXIDO XY1 - HC 720ML - ALBA"</f>
        <v>ACOTONE AMARILLO OXIDO XY1 - HC 720ML - ALBA</v>
      </c>
      <c r="C328">
        <v>58716.2</v>
      </c>
      <c r="D328">
        <v>71046.601999999999</v>
      </c>
    </row>
    <row r="329" spans="1:4" x14ac:dyDescent="0.25">
      <c r="A329" t="str">
        <f>"00397"</f>
        <v>00397</v>
      </c>
      <c r="B329" t="str">
        <f>"ACOTONE AMARILLO VERDOSO YE2 - HC 720ML - ALBA"</f>
        <v>ACOTONE AMARILLO VERDOSO YE2 - HC 720ML - ALBA</v>
      </c>
      <c r="C329">
        <v>194838.15</v>
      </c>
      <c r="D329">
        <v>235754.16149999999</v>
      </c>
    </row>
    <row r="330" spans="1:4" x14ac:dyDescent="0.25">
      <c r="A330" t="str">
        <f>"00398"</f>
        <v>00398</v>
      </c>
      <c r="B330" t="str">
        <f>"ACOTONE AMARILLO YE1 - HC 720ML - ALBA"</f>
        <v>ACOTONE AMARILLO YE1 - HC 720ML - ALBA</v>
      </c>
      <c r="C330">
        <v>140687.04999999999</v>
      </c>
      <c r="D330">
        <v>170231.33049999998</v>
      </c>
    </row>
    <row r="331" spans="1:4" x14ac:dyDescent="0.25">
      <c r="A331" t="str">
        <f>"00399"</f>
        <v>00399</v>
      </c>
      <c r="B331" t="str">
        <f>"ACOTONE AZUL CLARO BU2 - HC 720ML - ALBA"</f>
        <v>ACOTONE AZUL CLARO BU2 - HC 720ML - ALBA</v>
      </c>
      <c r="C331">
        <v>392660.23</v>
      </c>
      <c r="D331">
        <v>475118.87829999998</v>
      </c>
    </row>
    <row r="332" spans="1:4" x14ac:dyDescent="0.25">
      <c r="A332" t="str">
        <f>"00400"</f>
        <v>00400</v>
      </c>
      <c r="B332" t="str">
        <f>"ACOTONE AZUL INTENSO BU1 - HC 720ML - ALBA"</f>
        <v>ACOTONE AZUL INTENSO BU1 - HC 720ML - ALBA</v>
      </c>
      <c r="C332">
        <v>67798.47</v>
      </c>
      <c r="D332">
        <v>82036.148700000005</v>
      </c>
    </row>
    <row r="333" spans="1:4" x14ac:dyDescent="0.25">
      <c r="A333" t="str">
        <f>"00401"</f>
        <v>00401</v>
      </c>
      <c r="B333" t="str">
        <f>"ACOTONE BLANCO WH1 - HC 720ML - ALBA"</f>
        <v>ACOTONE BLANCO WH1 - HC 720ML - ALBA</v>
      </c>
      <c r="C333">
        <v>70497.97</v>
      </c>
      <c r="D333">
        <v>85302.543699999995</v>
      </c>
    </row>
    <row r="334" spans="1:4" x14ac:dyDescent="0.25">
      <c r="A334" t="str">
        <f>"00402"</f>
        <v>00402</v>
      </c>
      <c r="B334" t="str">
        <f>"ACOTONE MAGENTA MA1 - HC 720ML - ALBA"</f>
        <v>ACOTONE MAGENTA MA1 - HC 720ML - ALBA</v>
      </c>
      <c r="C334">
        <v>126259.8</v>
      </c>
      <c r="D334">
        <v>152774.35800000001</v>
      </c>
    </row>
    <row r="335" spans="1:4" x14ac:dyDescent="0.25">
      <c r="A335" t="str">
        <f>"00403"</f>
        <v>00403</v>
      </c>
      <c r="B335" t="str">
        <f>"ACOTONE NARANJA OR1 - HC 720ML - ALBA"</f>
        <v>ACOTONE NARANJA OR1 - HC 720ML - ALBA</v>
      </c>
      <c r="C335">
        <v>215238.35</v>
      </c>
      <c r="D335">
        <v>260438.40349999999</v>
      </c>
    </row>
    <row r="336" spans="1:4" x14ac:dyDescent="0.25">
      <c r="A336" t="str">
        <f>"00404"</f>
        <v>00404</v>
      </c>
      <c r="B336" t="str">
        <f>"ACOTONE NEGRO NO1 - HC 720ML - ALBA"</f>
        <v>ACOTONE NEGRO NO1 - HC 720ML - ALBA</v>
      </c>
      <c r="C336">
        <v>36862.26</v>
      </c>
      <c r="D336">
        <v>44603.334600000002</v>
      </c>
    </row>
    <row r="337" spans="1:4" x14ac:dyDescent="0.25">
      <c r="A337" t="str">
        <f>"00405"</f>
        <v>00405</v>
      </c>
      <c r="B337" t="str">
        <f>"ACOTONE ROJO INTENSO RE1 - HC 720ML - ALBA"</f>
        <v>ACOTONE ROJO INTENSO RE1 - HC 720ML - ALBA</v>
      </c>
      <c r="C337">
        <v>140248.68</v>
      </c>
      <c r="D337">
        <v>169700.90279999998</v>
      </c>
    </row>
    <row r="338" spans="1:4" x14ac:dyDescent="0.25">
      <c r="A338" t="str">
        <f>"00406"</f>
        <v>00406</v>
      </c>
      <c r="B338" t="str">
        <f>"ACOTONE ROJO OXIDO XR1 - HC 720ML - ALBA"</f>
        <v>ACOTONE ROJO OXIDO XR1 - HC 720ML - ALBA</v>
      </c>
      <c r="C338">
        <v>65603.59</v>
      </c>
      <c r="D338">
        <v>79380.343899999993</v>
      </c>
    </row>
    <row r="339" spans="1:4" x14ac:dyDescent="0.25">
      <c r="A339" t="str">
        <f>"00407"</f>
        <v>00407</v>
      </c>
      <c r="B339" t="str">
        <f>"ACOTONE TIERRA SOMBRA UM1 - HC 720ML - ALBA"</f>
        <v>ACOTONE TIERRA SOMBRA UM1 - HC 720ML - ALBA</v>
      </c>
      <c r="C339">
        <v>47935.519999999997</v>
      </c>
      <c r="D339">
        <v>58001.979199999994</v>
      </c>
    </row>
    <row r="340" spans="1:4" x14ac:dyDescent="0.25">
      <c r="A340" t="str">
        <f>"00408"</f>
        <v>00408</v>
      </c>
      <c r="B340" t="str">
        <f>"ACOTONE VERDE GR1 - HC 720ML - ALBA"</f>
        <v>ACOTONE VERDE GR1 - HC 720ML - ALBA</v>
      </c>
      <c r="C340">
        <v>92674.05</v>
      </c>
      <c r="D340">
        <v>112135.6005</v>
      </c>
    </row>
    <row r="341" spans="1:4" x14ac:dyDescent="0.25">
      <c r="A341" t="str">
        <f>"00409"</f>
        <v>00409</v>
      </c>
      <c r="B341" t="str">
        <f>"BAÑOS &amp; COCINAS MATE BLANCO - 01 L - ALBA"</f>
        <v>BAÑOS &amp; COCINAS MATE BLANCO - 01 L - ALBA</v>
      </c>
      <c r="C341">
        <v>15407.96</v>
      </c>
      <c r="D341">
        <v>18643.631599999997</v>
      </c>
    </row>
    <row r="342" spans="1:4" x14ac:dyDescent="0.25">
      <c r="A342" t="str">
        <f>"00410"</f>
        <v>00410</v>
      </c>
      <c r="B342" t="str">
        <f>"BAÑOS &amp; COCINAS MATE BLANCO - 04 L - ALBA"</f>
        <v>BAÑOS &amp; COCINAS MATE BLANCO - 04 L - ALBA</v>
      </c>
      <c r="C342">
        <v>50076.36</v>
      </c>
      <c r="D342">
        <v>60592.395599999996</v>
      </c>
    </row>
    <row r="343" spans="1:4" x14ac:dyDescent="0.25">
      <c r="A343" t="str">
        <f>"00417"</f>
        <v>00417</v>
      </c>
      <c r="B343" t="str">
        <f>"CENTRO ANTIHONGO BLANCO - 01 L - ALBA"</f>
        <v>CENTRO ANTIHONGO BLANCO - 01 L - ALBA</v>
      </c>
      <c r="C343">
        <v>9610.35</v>
      </c>
      <c r="D343">
        <v>11628.523499999999</v>
      </c>
    </row>
    <row r="344" spans="1:4" x14ac:dyDescent="0.25">
      <c r="A344" t="str">
        <f>"00418"</f>
        <v>00418</v>
      </c>
      <c r="B344" t="str">
        <f>"CENTRO ANTIHONGO BLANCO - 04 L - ALBA"</f>
        <v>CENTRO ANTIHONGO BLANCO - 04 L - ALBA</v>
      </c>
      <c r="C344">
        <v>31234.9</v>
      </c>
      <c r="D344">
        <v>37794.228999999999</v>
      </c>
    </row>
    <row r="345" spans="1:4" x14ac:dyDescent="0.25">
      <c r="A345" t="str">
        <f>"00419"</f>
        <v>00419</v>
      </c>
      <c r="B345" t="str">
        <f>"CENTRO ANTIHONGO BLANCO - 10 L - ALBA"</f>
        <v>CENTRO ANTIHONGO BLANCO - 10 L - ALBA</v>
      </c>
      <c r="C345">
        <v>67275.490000000005</v>
      </c>
      <c r="D345">
        <v>81403.342900000003</v>
      </c>
    </row>
    <row r="346" spans="1:4" x14ac:dyDescent="0.25">
      <c r="A346" t="str">
        <f>"00420"</f>
        <v>00420</v>
      </c>
      <c r="B346" t="str">
        <f>"CENTRO ANTIHONGO BLANCO - 20 L - ALBA"</f>
        <v>CENTRO ANTIHONGO BLANCO - 20 L - ALBA</v>
      </c>
      <c r="C346">
        <v>120133.93</v>
      </c>
      <c r="D346">
        <v>145362.05529999998</v>
      </c>
    </row>
    <row r="347" spans="1:4" x14ac:dyDescent="0.25">
      <c r="A347" t="str">
        <f>"00421"</f>
        <v>00421</v>
      </c>
      <c r="B347" t="str">
        <f>"CENTRO ENDUIDO + MASILLA X 01 L - ALBA"</f>
        <v>CENTRO ENDUIDO + MASILLA X 01 L - ALBA</v>
      </c>
      <c r="C347">
        <v>4405.04</v>
      </c>
      <c r="D347">
        <v>5330.0983999999999</v>
      </c>
    </row>
    <row r="348" spans="1:4" x14ac:dyDescent="0.25">
      <c r="A348" t="str">
        <f>"00422"</f>
        <v>00422</v>
      </c>
      <c r="B348" t="str">
        <f>"CENTRO ENDUIDO + MASILLA X 04 L - ALBA"</f>
        <v>CENTRO ENDUIDO + MASILLA X 04 L - ALBA</v>
      </c>
      <c r="C348">
        <v>12726.8</v>
      </c>
      <c r="D348">
        <v>15399.427999999998</v>
      </c>
    </row>
    <row r="349" spans="1:4" x14ac:dyDescent="0.25">
      <c r="A349" t="str">
        <f>"00423"</f>
        <v>00423</v>
      </c>
      <c r="B349" t="str">
        <f>"CENTRO ENDUIDO + MASILLA X 10 L - ALBA"</f>
        <v>CENTRO ENDUIDO + MASILLA X 10 L - ALBA</v>
      </c>
      <c r="C349">
        <v>26922.63</v>
      </c>
      <c r="D349">
        <v>32576.382300000001</v>
      </c>
    </row>
    <row r="350" spans="1:4" x14ac:dyDescent="0.25">
      <c r="A350" t="str">
        <f>"00424"</f>
        <v>00424</v>
      </c>
      <c r="B350" t="str">
        <f>"CENTRO ENDUIDO + MASILLA X 20 L - ALBA"</f>
        <v>CENTRO ENDUIDO + MASILLA X 20 L - ALBA</v>
      </c>
      <c r="C350">
        <v>48949.87</v>
      </c>
      <c r="D350">
        <v>59229.342700000001</v>
      </c>
    </row>
    <row r="351" spans="1:4" x14ac:dyDescent="0.25">
      <c r="A351" t="str">
        <f>"00425"</f>
        <v>00425</v>
      </c>
      <c r="B351" t="str">
        <f>"CENTRO FIJADOR AL AGUA - 01 L - ALBA"</f>
        <v>CENTRO FIJADOR AL AGUA - 01 L - ALBA</v>
      </c>
      <c r="C351">
        <v>4164.45</v>
      </c>
      <c r="D351">
        <v>5038.9844999999996</v>
      </c>
    </row>
    <row r="352" spans="1:4" x14ac:dyDescent="0.25">
      <c r="A352" t="str">
        <f>"00426"</f>
        <v>00426</v>
      </c>
      <c r="B352" t="str">
        <f>"CENTRO FIJADOR AL AGUA - 04 L - ALBA"</f>
        <v>CENTRO FIJADOR AL AGUA - 04 L - ALBA</v>
      </c>
      <c r="C352">
        <v>13013.27</v>
      </c>
      <c r="D352">
        <v>15746.056699999999</v>
      </c>
    </row>
    <row r="353" spans="1:4" x14ac:dyDescent="0.25">
      <c r="A353" t="str">
        <f>"00427"</f>
        <v>00427</v>
      </c>
      <c r="B353" t="str">
        <f>"CENTRO FIJADOR AL AGUA - 10 L - ALBA"</f>
        <v>CENTRO FIJADOR AL AGUA - 10 L - ALBA</v>
      </c>
      <c r="C353">
        <v>29148.09</v>
      </c>
      <c r="D353">
        <v>35269.188900000001</v>
      </c>
    </row>
    <row r="354" spans="1:4" x14ac:dyDescent="0.25">
      <c r="A354" t="str">
        <f>"00428"</f>
        <v>00428</v>
      </c>
      <c r="B354" t="str">
        <f>"CENTRO FIJADOR AL AGUA - 20 L - ALBA"</f>
        <v>CENTRO FIJADOR AL AGUA - 20 L - ALBA</v>
      </c>
      <c r="C354">
        <v>52051.040000000001</v>
      </c>
      <c r="D354">
        <v>62981.758399999999</v>
      </c>
    </row>
    <row r="355" spans="1:4" x14ac:dyDescent="0.25">
      <c r="A355" t="str">
        <f>"00429"</f>
        <v>00429</v>
      </c>
      <c r="B355" t="str">
        <f>"CENTRO LAT EXT BLANCO - 01 L - ALBA"</f>
        <v>CENTRO LAT EXT BLANCO - 01 L - ALBA</v>
      </c>
      <c r="C355">
        <v>6926.04</v>
      </c>
      <c r="D355">
        <v>8380.5083999999988</v>
      </c>
    </row>
    <row r="356" spans="1:4" x14ac:dyDescent="0.25">
      <c r="A356" t="str">
        <f>"00430"</f>
        <v>00430</v>
      </c>
      <c r="B356" t="str">
        <f>"CENTRO LAT EXT BLANCO - 04 L - ALBA"</f>
        <v>CENTRO LAT EXT BLANCO - 04 L - ALBA</v>
      </c>
      <c r="C356">
        <v>26988.9</v>
      </c>
      <c r="D356">
        <v>32656.569</v>
      </c>
    </row>
    <row r="357" spans="1:4" x14ac:dyDescent="0.25">
      <c r="A357" t="str">
        <f>"00431"</f>
        <v>00431</v>
      </c>
      <c r="B357" t="str">
        <f>"CENTRO LAT EXT BLANCO - 10 L - ALBA"</f>
        <v>CENTRO LAT EXT BLANCO - 10 L - ALBA</v>
      </c>
      <c r="C357">
        <v>58130.01</v>
      </c>
      <c r="D357">
        <v>70337.312099999996</v>
      </c>
    </row>
    <row r="358" spans="1:4" x14ac:dyDescent="0.25">
      <c r="A358" t="str">
        <f>"00432"</f>
        <v>00432</v>
      </c>
      <c r="B358" t="str">
        <f>"CENTRO LAT EXT BLANCO - 20 L - ALBA"</f>
        <v>CENTRO LAT EXT BLANCO - 20 L - ALBA</v>
      </c>
      <c r="C358">
        <v>103803.38</v>
      </c>
      <c r="D358">
        <v>125602.0898</v>
      </c>
    </row>
    <row r="359" spans="1:4" x14ac:dyDescent="0.25">
      <c r="A359" t="str">
        <f>"00433"</f>
        <v>00433</v>
      </c>
      <c r="B359" t="str">
        <f>"CENTRO PROF ESM BRI AMARILLO - 01 L - ALBA"</f>
        <v>CENTRO PROF ESM BRI AMARILLO - 01 L - ALBA</v>
      </c>
      <c r="C359">
        <v>13259.98</v>
      </c>
      <c r="D359">
        <v>16044.575799999999</v>
      </c>
    </row>
    <row r="360" spans="1:4" x14ac:dyDescent="0.25">
      <c r="A360" t="str">
        <f>"00434"</f>
        <v>00434</v>
      </c>
      <c r="B360" t="str">
        <f>"CENTRO PROF ESM BRI AMARILLO - 04 L - ALBA"</f>
        <v>CENTRO PROF ESM BRI AMARILLO - 04 L - ALBA</v>
      </c>
      <c r="C360">
        <v>45723.32</v>
      </c>
      <c r="D360">
        <v>55325.217199999999</v>
      </c>
    </row>
    <row r="361" spans="1:4" x14ac:dyDescent="0.25">
      <c r="A361" t="str">
        <f>"00435"</f>
        <v>00435</v>
      </c>
      <c r="B361" t="str">
        <f>"CENTRO PROF ESM BRI BERMELLON - 01 L - ALBA"</f>
        <v>CENTRO PROF ESM BRI BERMELLON - 01 L - ALBA</v>
      </c>
      <c r="C361">
        <v>13259.98</v>
      </c>
      <c r="D361">
        <v>16044.575799999999</v>
      </c>
    </row>
    <row r="362" spans="1:4" x14ac:dyDescent="0.25">
      <c r="A362" t="str">
        <f>"00436"</f>
        <v>00436</v>
      </c>
      <c r="B362" t="str">
        <f>"CENTRO PROF ESM BRI BERMELLON - 04 L - ALBA"</f>
        <v>CENTRO PROF ESM BRI BERMELLON - 04 L - ALBA</v>
      </c>
      <c r="C362">
        <v>45723.32</v>
      </c>
      <c r="D362">
        <v>55325.217199999999</v>
      </c>
    </row>
    <row r="363" spans="1:4" x14ac:dyDescent="0.25">
      <c r="A363" t="str">
        <f>"00437"</f>
        <v>00437</v>
      </c>
      <c r="B363" t="str">
        <f>"CENTRO PROF ESM BRI BLANCO -  250 ML - ALBA"</f>
        <v>CENTRO PROF ESM BRI BLANCO -  250 ML - ALBA</v>
      </c>
      <c r="C363">
        <v>4023.77</v>
      </c>
      <c r="D363">
        <v>4868.7617</v>
      </c>
    </row>
    <row r="364" spans="1:4" x14ac:dyDescent="0.25">
      <c r="A364" t="str">
        <f>"00438"</f>
        <v>00438</v>
      </c>
      <c r="B364" t="str">
        <f>"CENTRO PROF ESM BRI BLANCO -  500 ML - ALBA"</f>
        <v>CENTRO PROF ESM BRI BLANCO -  500 ML - ALBA</v>
      </c>
      <c r="C364">
        <v>6218.64</v>
      </c>
      <c r="D364">
        <v>7524.5544</v>
      </c>
    </row>
    <row r="365" spans="1:4" x14ac:dyDescent="0.25">
      <c r="A365" t="str">
        <f>"00439"</f>
        <v>00439</v>
      </c>
      <c r="B365" t="str">
        <f>"CENTRO PROF ESM BRI BLANCO - 01 L - ALBA"</f>
        <v>CENTRO PROF ESM BRI BLANCO - 01 L - ALBA</v>
      </c>
      <c r="C365">
        <v>10607.37</v>
      </c>
      <c r="D365">
        <v>12834.9177</v>
      </c>
    </row>
    <row r="366" spans="1:4" x14ac:dyDescent="0.25">
      <c r="A366" t="str">
        <f>"00440"</f>
        <v>00440</v>
      </c>
      <c r="B366" t="str">
        <f>"CENTRO PROF ESM BRI BLANCO - 04 L - ALBA"</f>
        <v>CENTRO PROF ESM BRI BLANCO - 04 L - ALBA</v>
      </c>
      <c r="C366">
        <v>36578.86</v>
      </c>
      <c r="D366">
        <v>44260.420599999998</v>
      </c>
    </row>
    <row r="367" spans="1:4" x14ac:dyDescent="0.25">
      <c r="A367" t="str">
        <f>"00441"</f>
        <v>00441</v>
      </c>
      <c r="B367" t="str">
        <f>"CENTRO PROF ESM BRI BLANCO - 20 L - ALBA"</f>
        <v>CENTRO PROF ESM BRI BLANCO - 20 L - ALBA</v>
      </c>
      <c r="C367">
        <v>164605.37</v>
      </c>
      <c r="D367">
        <v>199172.49769999998</v>
      </c>
    </row>
    <row r="368" spans="1:4" x14ac:dyDescent="0.25">
      <c r="A368" t="str">
        <f>"00442"</f>
        <v>00442</v>
      </c>
      <c r="B368" t="str">
        <f>"CENTRO PROF ESM BRI NEGRO -  500 ML - ALBA"</f>
        <v>CENTRO PROF ESM BRI NEGRO -  500 ML - ALBA</v>
      </c>
      <c r="C368">
        <v>5285.84</v>
      </c>
      <c r="D368">
        <v>6395.8663999999999</v>
      </c>
    </row>
    <row r="369" spans="1:4" x14ac:dyDescent="0.25">
      <c r="A369" t="str">
        <f>"00443"</f>
        <v>00443</v>
      </c>
      <c r="B369" t="str">
        <f>"CENTRO PROF ESM BRI NEGRO - 01 L - ALBA"</f>
        <v>CENTRO PROF ESM BRI NEGRO - 01 L - ALBA</v>
      </c>
      <c r="C369">
        <v>9017.0300000000007</v>
      </c>
      <c r="D369">
        <v>10910.606300000001</v>
      </c>
    </row>
    <row r="370" spans="1:4" x14ac:dyDescent="0.25">
      <c r="A370" t="str">
        <f>"00444"</f>
        <v>00444</v>
      </c>
      <c r="B370" t="str">
        <f>"CENTRO PROF ESM BRI NEGRO - 04 L - ALBA"</f>
        <v>CENTRO PROF ESM BRI NEGRO - 04 L - ALBA</v>
      </c>
      <c r="C370">
        <v>31092.18</v>
      </c>
      <c r="D370">
        <v>37621.537799999998</v>
      </c>
    </row>
    <row r="371" spans="1:4" x14ac:dyDescent="0.25">
      <c r="A371" t="str">
        <f>"00445"</f>
        <v>00445</v>
      </c>
      <c r="B371" t="str">
        <f>"CENTRO PROF ESM BRI VERDE ING - 01 L - ALBA"</f>
        <v>CENTRO PROF ESM BRI VERDE ING - 01 L - ALBA</v>
      </c>
      <c r="C371">
        <v>10607.37</v>
      </c>
      <c r="D371">
        <v>12834.9177</v>
      </c>
    </row>
    <row r="372" spans="1:4" x14ac:dyDescent="0.25">
      <c r="A372" t="str">
        <f>"00446"</f>
        <v>00446</v>
      </c>
      <c r="B372" t="str">
        <f>"CENTRO PROF ESM BRI VERDE ING - 04 L - ALBA"</f>
        <v>CENTRO PROF ESM BRI VERDE ING - 04 L - ALBA</v>
      </c>
      <c r="C372">
        <v>36578.86</v>
      </c>
      <c r="D372">
        <v>44260.420599999998</v>
      </c>
    </row>
    <row r="373" spans="1:4" x14ac:dyDescent="0.25">
      <c r="A373" t="str">
        <f>"00447"</f>
        <v>00447</v>
      </c>
      <c r="B373" t="str">
        <f>"CENTRO PROF LAT EXT/INT - 01 L - ALBA"</f>
        <v>CENTRO PROF LAT EXT/INT - 01 L - ALBA</v>
      </c>
      <c r="C373">
        <v>6174.8</v>
      </c>
      <c r="D373">
        <v>7471.5079999999998</v>
      </c>
    </row>
    <row r="374" spans="1:4" x14ac:dyDescent="0.25">
      <c r="A374" t="str">
        <f>"00448"</f>
        <v>00448</v>
      </c>
      <c r="B374" t="str">
        <f>"CENTRO PROF LAT EXT/INT - 04 L - ALBA"</f>
        <v>CENTRO PROF LAT EXT/INT - 04 L - ALBA</v>
      </c>
      <c r="C374">
        <v>20068.88</v>
      </c>
      <c r="D374">
        <v>24283.344799999999</v>
      </c>
    </row>
    <row r="375" spans="1:4" x14ac:dyDescent="0.25">
      <c r="A375" t="str">
        <f>"00449"</f>
        <v>00449</v>
      </c>
      <c r="B375" t="str">
        <f>"CENTRO PROF LAT EXT/INT - 10 L - ALBA"</f>
        <v>CENTRO PROF LAT EXT/INT - 10 L - ALBA</v>
      </c>
      <c r="C375">
        <v>43225.67</v>
      </c>
      <c r="D375">
        <v>52303.060699999995</v>
      </c>
    </row>
    <row r="376" spans="1:4" x14ac:dyDescent="0.25">
      <c r="A376" t="str">
        <f>"00450"</f>
        <v>00450</v>
      </c>
      <c r="B376" t="str">
        <f>"CENTRO PROF LAT EXT/INT - 20 L - ALBA"</f>
        <v>CENTRO PROF LAT EXT/INT - 20 L - ALBA</v>
      </c>
      <c r="C376">
        <v>77188.62</v>
      </c>
      <c r="D376">
        <v>93398.230199999991</v>
      </c>
    </row>
    <row r="377" spans="1:4" x14ac:dyDescent="0.25">
      <c r="A377" t="str">
        <f>"00451"</f>
        <v>00451</v>
      </c>
      <c r="B377" t="str">
        <f>"CENTRO PROF LAT INT - 01 L - ALBA"</f>
        <v>CENTRO PROF LAT INT - 01 L - ALBA</v>
      </c>
      <c r="C377">
        <v>5416.33</v>
      </c>
      <c r="D377">
        <v>6553.7592999999997</v>
      </c>
    </row>
    <row r="378" spans="1:4" x14ac:dyDescent="0.25">
      <c r="A378" t="str">
        <f>"00452"</f>
        <v>00452</v>
      </c>
      <c r="B378" t="str">
        <f>"CENTRO PROF LAT INT - 04 L - ALBA"</f>
        <v>CENTRO PROF LAT INT - 04 L - ALBA</v>
      </c>
      <c r="C378">
        <v>17604.87</v>
      </c>
      <c r="D378">
        <v>21301.892699999997</v>
      </c>
    </row>
    <row r="379" spans="1:4" x14ac:dyDescent="0.25">
      <c r="A379" t="str">
        <f>"00453"</f>
        <v>00453</v>
      </c>
      <c r="B379" t="str">
        <f>"CENTRO PROF LAT INT - 10 L - ALBA"</f>
        <v>CENTRO PROF LAT INT - 10 L - ALBA</v>
      </c>
      <c r="C379">
        <v>37917.39</v>
      </c>
      <c r="D379">
        <v>45880.041899999997</v>
      </c>
    </row>
    <row r="380" spans="1:4" x14ac:dyDescent="0.25">
      <c r="A380" t="str">
        <f>"00454"</f>
        <v>00454</v>
      </c>
      <c r="B380" t="str">
        <f>"CENTRO PROF LAT INT - 20 L - ALBA"</f>
        <v>CENTRO PROF LAT INT - 20 L - ALBA</v>
      </c>
      <c r="C380">
        <v>67709.78</v>
      </c>
      <c r="D380">
        <v>81928.833799999993</v>
      </c>
    </row>
    <row r="381" spans="1:4" x14ac:dyDescent="0.25">
      <c r="A381" t="str">
        <f>"00455"</f>
        <v>00455</v>
      </c>
      <c r="B381" t="str">
        <f>"CENTRO TECHOS FIBRADO BLANCO - 05 KG - ALBA"</f>
        <v>CENTRO TECHOS FIBRADO BLANCO - 05 KG - ALBA</v>
      </c>
      <c r="C381">
        <v>25286.42</v>
      </c>
      <c r="D381">
        <v>30596.568199999998</v>
      </c>
    </row>
    <row r="382" spans="1:4" x14ac:dyDescent="0.25">
      <c r="A382" t="str">
        <f>"00456"</f>
        <v>00456</v>
      </c>
      <c r="B382" t="str">
        <f>"CENTRO TECHOS FIBRADO BLANCO - 10 KG - ALBA"</f>
        <v>CENTRO TECHOS FIBRADO BLANCO - 10 KG - ALBA</v>
      </c>
      <c r="C382">
        <v>54463.42</v>
      </c>
      <c r="D382">
        <v>65900.738199999993</v>
      </c>
    </row>
    <row r="383" spans="1:4" x14ac:dyDescent="0.25">
      <c r="A383" t="str">
        <f>"00457"</f>
        <v>00457</v>
      </c>
      <c r="B383" t="str">
        <f>"CENTRO TECHOS FIBRADO BLANCO - 20 KG - ALBA"</f>
        <v>CENTRO TECHOS FIBRADO BLANCO - 20 KG - ALBA</v>
      </c>
      <c r="C383">
        <v>97256.47</v>
      </c>
      <c r="D383">
        <v>117680.3287</v>
      </c>
    </row>
    <row r="384" spans="1:4" x14ac:dyDescent="0.25">
      <c r="A384" t="str">
        <f>"00473"</f>
        <v>00473</v>
      </c>
      <c r="B384" t="str">
        <f>"CONSTRUCTOR INT/EXT MATE BLANCO - 01 L - ALBA"</f>
        <v>CONSTRUCTOR INT/EXT MATE BLANCO - 01 L - ALBA</v>
      </c>
      <c r="C384">
        <v>8046.51</v>
      </c>
      <c r="D384">
        <v>9736.2770999999993</v>
      </c>
    </row>
    <row r="385" spans="1:4" x14ac:dyDescent="0.25">
      <c r="A385" t="str">
        <f>"00474"</f>
        <v>00474</v>
      </c>
      <c r="B385" t="str">
        <f>"CONSTRUCTOR INT/EXT MATE BLANCO - 04 L - ALBA"</f>
        <v>CONSTRUCTOR INT/EXT MATE BLANCO - 04 L - ALBA</v>
      </c>
      <c r="C385">
        <v>26150.91</v>
      </c>
      <c r="D385">
        <v>31642.6011</v>
      </c>
    </row>
    <row r="386" spans="1:4" x14ac:dyDescent="0.25">
      <c r="A386" t="str">
        <f>"00475"</f>
        <v>00475</v>
      </c>
      <c r="B386" t="str">
        <f>"CONSTRUCTOR INT/EXT MATE BLANCO - 10 L - ALBA"</f>
        <v>CONSTRUCTOR INT/EXT MATE BLANCO - 10 L - ALBA</v>
      </c>
      <c r="C386">
        <v>56325.59</v>
      </c>
      <c r="D386">
        <v>68153.963899999988</v>
      </c>
    </row>
    <row r="387" spans="1:4" x14ac:dyDescent="0.25">
      <c r="A387" t="str">
        <f>"00476"</f>
        <v>00476</v>
      </c>
      <c r="B387" t="str">
        <f>"CONSTRUCTOR INT/EXT MATE BLANCO - 20 L - ALBA"</f>
        <v>CONSTRUCTOR INT/EXT MATE BLANCO - 20 L - ALBA</v>
      </c>
      <c r="C387">
        <v>100580.9</v>
      </c>
      <c r="D387">
        <v>121702.889</v>
      </c>
    </row>
    <row r="388" spans="1:4" x14ac:dyDescent="0.25">
      <c r="A388" t="str">
        <f>"00477"</f>
        <v>00477</v>
      </c>
      <c r="B388" t="str">
        <f>"CRISTALBA AL AGUA - 01 L - ALBA"</f>
        <v>CRISTALBA AL AGUA - 01 L - ALBA</v>
      </c>
      <c r="C388">
        <v>27768.78</v>
      </c>
      <c r="D388">
        <v>33600.2238</v>
      </c>
    </row>
    <row r="389" spans="1:4" x14ac:dyDescent="0.25">
      <c r="A389" t="str">
        <f>"00478"</f>
        <v>00478</v>
      </c>
      <c r="B389" t="str">
        <f>"CRISTALBA AL AGUA - 04 L - ALBA"</f>
        <v>CRISTALBA AL AGUA - 04 L - ALBA</v>
      </c>
      <c r="C389">
        <v>95753.81</v>
      </c>
      <c r="D389">
        <v>115862.11009999999</v>
      </c>
    </row>
    <row r="390" spans="1:4" x14ac:dyDescent="0.25">
      <c r="A390" t="str">
        <f>"00479"</f>
        <v>00479</v>
      </c>
      <c r="B390" t="str">
        <f>"CRISTALBA BRILLANTE - 01 L - ALBA"</f>
        <v>CRISTALBA BRILLANTE - 01 L - ALBA</v>
      </c>
      <c r="C390">
        <v>13545.42</v>
      </c>
      <c r="D390">
        <v>16389.958200000001</v>
      </c>
    </row>
    <row r="391" spans="1:4" x14ac:dyDescent="0.25">
      <c r="A391" t="str">
        <f>"00480"</f>
        <v>00480</v>
      </c>
      <c r="B391" t="str">
        <f>"CRISTALBA BRILLANTE - 04 L - ALBA"</f>
        <v>CRISTALBA BRILLANTE - 04 L - ALBA</v>
      </c>
      <c r="C391">
        <v>46709.120000000003</v>
      </c>
      <c r="D391">
        <v>56518.035199999998</v>
      </c>
    </row>
    <row r="392" spans="1:4" x14ac:dyDescent="0.25">
      <c r="A392" t="str">
        <f>"00481"</f>
        <v>00481</v>
      </c>
      <c r="B392" t="str">
        <f>"CRISTALBA MATE - 01 L - ALBA"</f>
        <v>CRISTALBA MATE - 01 L - ALBA</v>
      </c>
      <c r="C392">
        <v>17880.12</v>
      </c>
      <c r="D392">
        <v>21634.945199999998</v>
      </c>
    </row>
    <row r="393" spans="1:4" x14ac:dyDescent="0.25">
      <c r="A393" t="str">
        <f>"00482"</f>
        <v>00482</v>
      </c>
      <c r="B393" t="str">
        <f>"CRISTALBA MATE - 04 L - ALBA"</f>
        <v>CRISTALBA MATE - 04 L - ALBA</v>
      </c>
      <c r="C393">
        <v>61655.27</v>
      </c>
      <c r="D393">
        <v>74602.876699999993</v>
      </c>
    </row>
    <row r="394" spans="1:4" x14ac:dyDescent="0.25">
      <c r="A394" t="str">
        <f>"00483"</f>
        <v>00483</v>
      </c>
      <c r="B394" t="str">
        <f>"CRISTALBA SATINADO - 01 L - ALBA"</f>
        <v>CRISTALBA SATINADO - 01 L - ALBA</v>
      </c>
      <c r="C394">
        <v>17608.95</v>
      </c>
      <c r="D394">
        <v>21306.8295</v>
      </c>
    </row>
    <row r="395" spans="1:4" x14ac:dyDescent="0.25">
      <c r="A395" t="str">
        <f>"00484"</f>
        <v>00484</v>
      </c>
      <c r="B395" t="str">
        <f>"CRISTALBA SATINADO - 04 L - ALBA"</f>
        <v>CRISTALBA SATINADO - 04 L - ALBA</v>
      </c>
      <c r="C395">
        <v>60721.45</v>
      </c>
      <c r="D395">
        <v>73472.954499999993</v>
      </c>
    </row>
    <row r="396" spans="1:4" x14ac:dyDescent="0.25">
      <c r="A396" t="str">
        <f>"00485"</f>
        <v>00485</v>
      </c>
      <c r="B396" t="str">
        <f>"DURALBA ACRILICO BASE F -  900 ML - ALBA"</f>
        <v>DURALBA ACRILICO BASE F -  900 ML - ALBA</v>
      </c>
      <c r="C396">
        <v>11626.82</v>
      </c>
      <c r="D396">
        <v>14068.4522</v>
      </c>
    </row>
    <row r="397" spans="1:4" x14ac:dyDescent="0.25">
      <c r="A397" t="str">
        <f>"00486"</f>
        <v>00486</v>
      </c>
      <c r="B397" t="str">
        <f>"DURALBA ACRILICO BASE F - 03,6 L - ALBA"</f>
        <v>DURALBA ACRILICO BASE F - 03,6 L - ALBA</v>
      </c>
      <c r="C397">
        <v>37788.94</v>
      </c>
      <c r="D397">
        <v>45724.617400000003</v>
      </c>
    </row>
    <row r="398" spans="1:4" x14ac:dyDescent="0.25">
      <c r="A398" t="str">
        <f>"00487"</f>
        <v>00487</v>
      </c>
      <c r="B398" t="str">
        <f>"DURALBA ACRILICO BASE F - 08,7 L - ALBA"</f>
        <v>DURALBA ACRILICO BASE F - 08,7 L - ALBA</v>
      </c>
      <c r="C398">
        <v>81390.789999999994</v>
      </c>
      <c r="D398">
        <v>98482.855899999995</v>
      </c>
    </row>
    <row r="399" spans="1:4" x14ac:dyDescent="0.25">
      <c r="A399" t="str">
        <f>"00488"</f>
        <v>00488</v>
      </c>
      <c r="B399" t="str">
        <f>"DURALBA ACRILICO BASE F - 17,4 L - ALBA"</f>
        <v>DURALBA ACRILICO BASE F - 17,4 L - ALBA</v>
      </c>
      <c r="C399">
        <v>145340.82999999999</v>
      </c>
      <c r="D399">
        <v>175862.40429999997</v>
      </c>
    </row>
    <row r="400" spans="1:4" x14ac:dyDescent="0.25">
      <c r="A400" t="str">
        <f>"00489"</f>
        <v>00489</v>
      </c>
      <c r="B400" t="str">
        <f>"DURALBA ACRILICO BASE P -  900 ML - ALBA"</f>
        <v>DURALBA ACRILICO BASE P -  900 ML - ALBA</v>
      </c>
      <c r="C400">
        <v>12273.15</v>
      </c>
      <c r="D400">
        <v>14850.511499999999</v>
      </c>
    </row>
    <row r="401" spans="1:4" x14ac:dyDescent="0.25">
      <c r="A401" t="str">
        <f>"00490"</f>
        <v>00490</v>
      </c>
      <c r="B401" t="str">
        <f>"DURALBA ACRILICO BASE P - 03,6 L - ALBA"</f>
        <v>DURALBA ACRILICO BASE P - 03,6 L - ALBA</v>
      </c>
      <c r="C401">
        <v>39887.99</v>
      </c>
      <c r="D401">
        <v>48264.467899999996</v>
      </c>
    </row>
    <row r="402" spans="1:4" x14ac:dyDescent="0.25">
      <c r="A402" t="str">
        <f>"00491"</f>
        <v>00491</v>
      </c>
      <c r="B402" t="str">
        <f>"DURALBA ACRILICO BASE P - 08,7 L - ALBA"</f>
        <v>DURALBA ACRILICO BASE P - 08,7 L - ALBA</v>
      </c>
      <c r="C402">
        <v>85913.06</v>
      </c>
      <c r="D402">
        <v>103954.8026</v>
      </c>
    </row>
    <row r="403" spans="1:4" x14ac:dyDescent="0.25">
      <c r="A403" t="str">
        <f>"00492"</f>
        <v>00492</v>
      </c>
      <c r="B403" t="str">
        <f>"DURALBA ACRILICO BASE P - 17,4 L - ALBA"</f>
        <v>DURALBA ACRILICO BASE P - 17,4 L - ALBA</v>
      </c>
      <c r="C403">
        <v>153415.89000000001</v>
      </c>
      <c r="D403">
        <v>185633.22690000001</v>
      </c>
    </row>
    <row r="404" spans="1:4" x14ac:dyDescent="0.25">
      <c r="A404" t="str">
        <f>"00493"</f>
        <v>00493</v>
      </c>
      <c r="B404" t="str">
        <f>"DURALBA ACRILICO BASE T -  900 ML - ALBA"</f>
        <v>DURALBA ACRILICO BASE T -  900 ML - ALBA</v>
      </c>
      <c r="C404">
        <v>10981.51</v>
      </c>
      <c r="D404">
        <v>13287.6271</v>
      </c>
    </row>
    <row r="405" spans="1:4" x14ac:dyDescent="0.25">
      <c r="A405" t="str">
        <f>"00494"</f>
        <v>00494</v>
      </c>
      <c r="B405" t="str">
        <f>"DURALBA ACRILICO BASE T - 03,6 L - ALBA"</f>
        <v>DURALBA ACRILICO BASE T - 03,6 L - ALBA</v>
      </c>
      <c r="C405">
        <v>35688.879999999997</v>
      </c>
      <c r="D405">
        <v>43183.544799999996</v>
      </c>
    </row>
    <row r="406" spans="1:4" x14ac:dyDescent="0.25">
      <c r="A406" t="str">
        <f>"00495"</f>
        <v>00495</v>
      </c>
      <c r="B406" t="str">
        <f>"DURALBA ACRILICO BASE T - 17,4 L - ALBA"</f>
        <v>DURALBA ACRILICO BASE T - 17,4 L - ALBA</v>
      </c>
      <c r="C406">
        <v>137266.79999999999</v>
      </c>
      <c r="D406">
        <v>166092.82799999998</v>
      </c>
    </row>
    <row r="407" spans="1:4" x14ac:dyDescent="0.25">
      <c r="A407" t="str">
        <f>"00496"</f>
        <v>00496</v>
      </c>
      <c r="B407" t="str">
        <f>"DURALBA ACRILICO BLANCO - 01 L - ALBA"</f>
        <v>DURALBA ACRILICO BLANCO - 01 L - ALBA</v>
      </c>
      <c r="C407">
        <v>12919.48</v>
      </c>
      <c r="D407">
        <v>15632.5708</v>
      </c>
    </row>
    <row r="408" spans="1:4" x14ac:dyDescent="0.25">
      <c r="A408" t="str">
        <f>"00497"</f>
        <v>00497</v>
      </c>
      <c r="B408" t="str">
        <f>"DURALBA ACRILICO BLANCO - 04 L - ALBA"</f>
        <v>DURALBA ACRILICO BLANCO - 04 L - ALBA</v>
      </c>
      <c r="C408">
        <v>41987.03</v>
      </c>
      <c r="D408">
        <v>50804.306299999997</v>
      </c>
    </row>
    <row r="409" spans="1:4" x14ac:dyDescent="0.25">
      <c r="A409" t="str">
        <f>"00498"</f>
        <v>00498</v>
      </c>
      <c r="B409" t="str">
        <f>"DURALBA ACRILICO BLANCO - 10 L - ALBA"</f>
        <v>DURALBA ACRILICO BLANCO - 10 L - ALBA</v>
      </c>
      <c r="C409">
        <v>90434.32</v>
      </c>
      <c r="D409">
        <v>109425.52720000001</v>
      </c>
    </row>
    <row r="410" spans="1:4" x14ac:dyDescent="0.25">
      <c r="A410" t="str">
        <f>"00499"</f>
        <v>00499</v>
      </c>
      <c r="B410" t="str">
        <f>"DURALBA ACRILICO BLANCO - 20 L - ALBA"</f>
        <v>DURALBA ACRILICO BLANCO - 20 L - ALBA</v>
      </c>
      <c r="C410">
        <v>161489.93</v>
      </c>
      <c r="D410">
        <v>195402.81529999999</v>
      </c>
    </row>
    <row r="411" spans="1:4" x14ac:dyDescent="0.25">
      <c r="A411" t="str">
        <f>"00500"</f>
        <v>00500</v>
      </c>
      <c r="B411" t="str">
        <f>"DURALBA ACRILICO GRIS CEMENTO - 01 L - ALBA"</f>
        <v>DURALBA ACRILICO GRIS CEMENTO - 01 L - ALBA</v>
      </c>
      <c r="C411">
        <v>13306.87</v>
      </c>
      <c r="D411">
        <v>16101.3127</v>
      </c>
    </row>
    <row r="412" spans="1:4" x14ac:dyDescent="0.25">
      <c r="A412" t="str">
        <f>"00501"</f>
        <v>00501</v>
      </c>
      <c r="B412" t="str">
        <f>"DURALBA ACRILICO GRIS CEMENTO - 04 L - ALBA"</f>
        <v>DURALBA ACRILICO GRIS CEMENTO - 04 L - ALBA</v>
      </c>
      <c r="C412">
        <v>43247.07</v>
      </c>
      <c r="D412">
        <v>52328.954699999995</v>
      </c>
    </row>
    <row r="413" spans="1:4" x14ac:dyDescent="0.25">
      <c r="A413" t="str">
        <f>"00502"</f>
        <v>00502</v>
      </c>
      <c r="B413" t="str">
        <f>"DURALBA ACRILICO GRIS CEMENTO - 20 L - ALBA"</f>
        <v>DURALBA ACRILICO GRIS CEMENTO - 20 L - ALBA</v>
      </c>
      <c r="C413">
        <v>166334.35</v>
      </c>
      <c r="D413">
        <v>201264.56349999999</v>
      </c>
    </row>
    <row r="414" spans="1:4" x14ac:dyDescent="0.25">
      <c r="A414" t="str">
        <f>"00503"</f>
        <v>00503</v>
      </c>
      <c r="B414" t="str">
        <f>"DURALBA ACRILICO MARRON - 01 L - ALBA"</f>
        <v>DURALBA ACRILICO MARRON - 01 L - ALBA</v>
      </c>
      <c r="C414">
        <v>13306.87</v>
      </c>
      <c r="D414">
        <v>16101.3127</v>
      </c>
    </row>
    <row r="415" spans="1:4" x14ac:dyDescent="0.25">
      <c r="A415" t="str">
        <f>"00504"</f>
        <v>00504</v>
      </c>
      <c r="B415" t="str">
        <f>"DURALBA ACRILICO MARRON - 04 L - ALBA"</f>
        <v>DURALBA ACRILICO MARRON - 04 L - ALBA</v>
      </c>
      <c r="C415">
        <v>43247.07</v>
      </c>
      <c r="D415">
        <v>52328.954699999995</v>
      </c>
    </row>
    <row r="416" spans="1:4" x14ac:dyDescent="0.25">
      <c r="A416" t="str">
        <f>"00505"</f>
        <v>00505</v>
      </c>
      <c r="B416" t="str">
        <f>"DURALBA ACRILICO MARRON - 20 L - ALBA"</f>
        <v>DURALBA ACRILICO MARRON - 20 L - ALBA</v>
      </c>
      <c r="C416">
        <v>166334.35</v>
      </c>
      <c r="D416">
        <v>201264.56349999999</v>
      </c>
    </row>
    <row r="417" spans="1:4" x14ac:dyDescent="0.25">
      <c r="A417" t="str">
        <f>"00506"</f>
        <v>00506</v>
      </c>
      <c r="B417" t="str">
        <f>"DURALBA ACRILICO NEGRO - 01 L - ALBA"</f>
        <v>DURALBA ACRILICO NEGRO - 01 L - ALBA</v>
      </c>
      <c r="C417">
        <v>13306.87</v>
      </c>
      <c r="D417">
        <v>16101.3127</v>
      </c>
    </row>
    <row r="418" spans="1:4" x14ac:dyDescent="0.25">
      <c r="A418" t="str">
        <f>"00507"</f>
        <v>00507</v>
      </c>
      <c r="B418" t="str">
        <f>"DURALBA ACRILICO NEGRO - 04 L - ALBA"</f>
        <v>DURALBA ACRILICO NEGRO - 04 L - ALBA</v>
      </c>
      <c r="C418">
        <v>43247.07</v>
      </c>
      <c r="D418">
        <v>52328.954699999995</v>
      </c>
    </row>
    <row r="419" spans="1:4" x14ac:dyDescent="0.25">
      <c r="A419" t="str">
        <f>"00508"</f>
        <v>00508</v>
      </c>
      <c r="B419" t="str">
        <f>"DURALBA ACRILICO OCRE - 01 L - ALBA"</f>
        <v>DURALBA ACRILICO OCRE - 01 L - ALBA</v>
      </c>
      <c r="C419">
        <v>13431.16</v>
      </c>
      <c r="D419">
        <v>16251.703599999999</v>
      </c>
    </row>
    <row r="420" spans="1:4" x14ac:dyDescent="0.25">
      <c r="A420" t="str">
        <f>"00509"</f>
        <v>00509</v>
      </c>
      <c r="B420" t="str">
        <f>"DURALBA ACRILICO OCRE - 04 L - ALBA"</f>
        <v>DURALBA ACRILICO OCRE - 04 L - ALBA</v>
      </c>
      <c r="C420">
        <v>43247.07</v>
      </c>
      <c r="D420">
        <v>52328.954699999995</v>
      </c>
    </row>
    <row r="421" spans="1:4" x14ac:dyDescent="0.25">
      <c r="A421" t="str">
        <f>"00510"</f>
        <v>00510</v>
      </c>
      <c r="B421" t="str">
        <f>"DURALBA ACRILICO OCRE - 20 L - ALBA"</f>
        <v>DURALBA ACRILICO OCRE - 20 L - ALBA</v>
      </c>
      <c r="C421">
        <v>166334.35</v>
      </c>
      <c r="D421">
        <v>201264.56349999999</v>
      </c>
    </row>
    <row r="422" spans="1:4" x14ac:dyDescent="0.25">
      <c r="A422" t="str">
        <f>"00511"</f>
        <v>00511</v>
      </c>
      <c r="B422" t="str">
        <f>"DURALBA ACRILICO ROJO TANINO - 01 L - ALBA"</f>
        <v>DURALBA ACRILICO ROJO TANINO - 01 L - ALBA</v>
      </c>
      <c r="C422">
        <v>13431.16</v>
      </c>
      <c r="D422">
        <v>16251.703599999999</v>
      </c>
    </row>
    <row r="423" spans="1:4" x14ac:dyDescent="0.25">
      <c r="A423" t="str">
        <f>"00512"</f>
        <v>00512</v>
      </c>
      <c r="B423" t="str">
        <f>"DURALBA ACRILICO ROJO TANINO - 04 L - ALBA"</f>
        <v>DURALBA ACRILICO ROJO TANINO - 04 L - ALBA</v>
      </c>
      <c r="C423">
        <v>43247.07</v>
      </c>
      <c r="D423">
        <v>52328.954699999995</v>
      </c>
    </row>
    <row r="424" spans="1:4" x14ac:dyDescent="0.25">
      <c r="A424" t="str">
        <f>"00513"</f>
        <v>00513</v>
      </c>
      <c r="B424" t="str">
        <f>"DURALBA ACRILICO ROJO TANINO - 20 L - ALBA"</f>
        <v>DURALBA ACRILICO ROJO TANINO - 20 L - ALBA</v>
      </c>
      <c r="C424">
        <v>166334.35</v>
      </c>
      <c r="D424">
        <v>201264.56349999999</v>
      </c>
    </row>
    <row r="425" spans="1:4" x14ac:dyDescent="0.25">
      <c r="A425" t="str">
        <f>"00514"</f>
        <v>00514</v>
      </c>
      <c r="B425" t="str">
        <f>"DURALBA ACRILICO TEJA - 01 L - ALBA"</f>
        <v>DURALBA ACRILICO TEJA - 01 L - ALBA</v>
      </c>
      <c r="C425">
        <v>13306.87</v>
      </c>
      <c r="D425">
        <v>16101.3127</v>
      </c>
    </row>
    <row r="426" spans="1:4" x14ac:dyDescent="0.25">
      <c r="A426" t="str">
        <f>"00515"</f>
        <v>00515</v>
      </c>
      <c r="B426" t="str">
        <f>"DURALBA ACRILICO TEJA - 04 L - ALBA"</f>
        <v>DURALBA ACRILICO TEJA - 04 L - ALBA</v>
      </c>
      <c r="C426">
        <v>43247.07</v>
      </c>
      <c r="D426">
        <v>52328.954699999995</v>
      </c>
    </row>
    <row r="427" spans="1:4" x14ac:dyDescent="0.25">
      <c r="A427" t="str">
        <f>"00516"</f>
        <v>00516</v>
      </c>
      <c r="B427" t="str">
        <f>"DURALBA ACRILICO TEJA - 20 L - ALBA"</f>
        <v>DURALBA ACRILICO TEJA - 20 L - ALBA</v>
      </c>
      <c r="C427">
        <v>166334.35</v>
      </c>
      <c r="D427">
        <v>201264.56349999999</v>
      </c>
    </row>
    <row r="428" spans="1:4" x14ac:dyDescent="0.25">
      <c r="A428" t="str">
        <f>"00517"</f>
        <v>00517</v>
      </c>
      <c r="B428" t="str">
        <f>"DURALBA ACRILICO VERDE MUSGO - 01 L - ALBA"</f>
        <v>DURALBA ACRILICO VERDE MUSGO - 01 L - ALBA</v>
      </c>
      <c r="C428">
        <v>13431.16</v>
      </c>
      <c r="D428">
        <v>16251.703599999999</v>
      </c>
    </row>
    <row r="429" spans="1:4" x14ac:dyDescent="0.25">
      <c r="A429" t="str">
        <f>"00518"</f>
        <v>00518</v>
      </c>
      <c r="B429" t="str">
        <f>"DURALBA ACRILICO VERDE MUSGO - 04 L - ALBA"</f>
        <v>DURALBA ACRILICO VERDE MUSGO - 04 L - ALBA</v>
      </c>
      <c r="C429">
        <v>43247.07</v>
      </c>
      <c r="D429">
        <v>52328.954699999995</v>
      </c>
    </row>
    <row r="430" spans="1:4" x14ac:dyDescent="0.25">
      <c r="A430" t="str">
        <f>"00519"</f>
        <v>00519</v>
      </c>
      <c r="B430" t="str">
        <f>"DURALBA ACRILICO VERDE MUSGO - 20 L - ALBA"</f>
        <v>DURALBA ACRILICO VERDE MUSGO - 20 L - ALBA</v>
      </c>
      <c r="C430">
        <v>166334.35</v>
      </c>
      <c r="D430">
        <v>201264.56349999999</v>
      </c>
    </row>
    <row r="431" spans="1:4" x14ac:dyDescent="0.25">
      <c r="A431" t="str">
        <f>"00520"</f>
        <v>00520</v>
      </c>
      <c r="B431" t="str">
        <f>"DURALBA ACRILICO VERDE TENIS - 01 L - ALBA"</f>
        <v>DURALBA ACRILICO VERDE TENIS - 01 L - ALBA</v>
      </c>
      <c r="C431">
        <v>13306.87</v>
      </c>
      <c r="D431">
        <v>16101.3127</v>
      </c>
    </row>
    <row r="432" spans="1:4" x14ac:dyDescent="0.25">
      <c r="A432" t="str">
        <f>"00521"</f>
        <v>00521</v>
      </c>
      <c r="B432" t="str">
        <f>"DURALBA ACRILICO VERDE TENIS - 04 L - ALBA"</f>
        <v>DURALBA ACRILICO VERDE TENIS - 04 L - ALBA</v>
      </c>
      <c r="C432">
        <v>43247.07</v>
      </c>
      <c r="D432">
        <v>52328.954699999995</v>
      </c>
    </row>
    <row r="433" spans="1:4" x14ac:dyDescent="0.25">
      <c r="A433" t="str">
        <f>"00522"</f>
        <v>00522</v>
      </c>
      <c r="B433" t="str">
        <f>"DURALBA ACRILICO VERDE TENIS - 20 L - ALBA"</f>
        <v>DURALBA ACRILICO VERDE TENIS - 20 L - ALBA</v>
      </c>
      <c r="C433">
        <v>166334.35</v>
      </c>
      <c r="D433">
        <v>201264.56349999999</v>
      </c>
    </row>
    <row r="434" spans="1:4" x14ac:dyDescent="0.25">
      <c r="A434" t="str">
        <f>"00523"</f>
        <v>00523</v>
      </c>
      <c r="B434" t="str">
        <f>"DURALBA FRENTES Y MUROS  TEJA - 01 L - ALBA"</f>
        <v>DURALBA FRENTES Y MUROS  TEJA - 01 L - ALBA</v>
      </c>
      <c r="C434">
        <v>13861.45</v>
      </c>
      <c r="D434">
        <v>16772.354500000001</v>
      </c>
    </row>
    <row r="435" spans="1:4" x14ac:dyDescent="0.25">
      <c r="A435" t="str">
        <f>"00524"</f>
        <v>00524</v>
      </c>
      <c r="B435" t="str">
        <f>"DURALBA FRENTES Y MUROS  TEJA - 04 L - ALBA"</f>
        <v>DURALBA FRENTES Y MUROS  TEJA - 04 L - ALBA</v>
      </c>
      <c r="C435">
        <v>45049.46</v>
      </c>
      <c r="D435">
        <v>54509.846599999997</v>
      </c>
    </row>
    <row r="436" spans="1:4" x14ac:dyDescent="0.25">
      <c r="A436" t="str">
        <f>"00525"</f>
        <v>00525</v>
      </c>
      <c r="B436" t="str">
        <f>"DURALBA FRENTES Y MUROS  TEJA - 20 L - ALBA"</f>
        <v>DURALBA FRENTES Y MUROS  TEJA - 20 L - ALBA</v>
      </c>
      <c r="C436">
        <v>173265.59</v>
      </c>
      <c r="D436">
        <v>209651.3639</v>
      </c>
    </row>
    <row r="437" spans="1:4" x14ac:dyDescent="0.25">
      <c r="A437" t="str">
        <f>"00526"</f>
        <v>00526</v>
      </c>
      <c r="B437" t="str">
        <f>"DURALBA FRENTES Y MUROS GRIS CEMENTO - 01 L - ALBA"</f>
        <v>DURALBA FRENTES Y MUROS GRIS CEMENTO - 01 L - ALBA</v>
      </c>
      <c r="C437">
        <v>13861.45</v>
      </c>
      <c r="D437">
        <v>16772.354500000001</v>
      </c>
    </row>
    <row r="438" spans="1:4" x14ac:dyDescent="0.25">
      <c r="A438" t="str">
        <f>"00527"</f>
        <v>00527</v>
      </c>
      <c r="B438" t="str">
        <f>"DURALBA FRENTES Y MUROS GRIS CEMENTO - 04 L - ALBA"</f>
        <v>DURALBA FRENTES Y MUROS GRIS CEMENTO - 04 L - ALBA</v>
      </c>
      <c r="C438">
        <v>45049.46</v>
      </c>
      <c r="D438">
        <v>54509.846599999997</v>
      </c>
    </row>
    <row r="439" spans="1:4" x14ac:dyDescent="0.25">
      <c r="A439" t="str">
        <f>"00528"</f>
        <v>00528</v>
      </c>
      <c r="B439" t="str">
        <f>"DURALBA FRENTES Y MUROS GRIS CEMENTO - 20 L - ALBA"</f>
        <v>DURALBA FRENTES Y MUROS GRIS CEMENTO - 20 L - ALBA</v>
      </c>
      <c r="C439">
        <v>173265.59</v>
      </c>
      <c r="D439">
        <v>209651.3639</v>
      </c>
    </row>
    <row r="440" spans="1:4" x14ac:dyDescent="0.25">
      <c r="A440" t="str">
        <f>"00529"</f>
        <v>00529</v>
      </c>
      <c r="B440" t="str">
        <f>"DURALBA FRENTES Y MUROS BASE F - 03,6 L - ALBA"</f>
        <v>DURALBA FRENTES Y MUROS BASE F - 03,6 L - ALBA</v>
      </c>
      <c r="C440">
        <v>39362.97</v>
      </c>
      <c r="D440">
        <v>47629.193700000003</v>
      </c>
    </row>
    <row r="441" spans="1:4" x14ac:dyDescent="0.25">
      <c r="A441" t="str">
        <f>"00530"</f>
        <v>00530</v>
      </c>
      <c r="B441" t="str">
        <f>"DURALBA FRENTES Y MUROS BASE F - 08,7 L - ALBA"</f>
        <v>DURALBA FRENTES Y MUROS BASE F - 08,7 L - ALBA</v>
      </c>
      <c r="C441">
        <v>84782.49</v>
      </c>
      <c r="D441">
        <v>102586.8129</v>
      </c>
    </row>
    <row r="442" spans="1:4" x14ac:dyDescent="0.25">
      <c r="A442" t="str">
        <f>"00531"</f>
        <v>00531</v>
      </c>
      <c r="B442" t="str">
        <f>"DURALBA FRENTES Y MUROS BASE F - 17,4 L - ALBA"</f>
        <v>DURALBA FRENTES Y MUROS BASE F - 17,4 L - ALBA</v>
      </c>
      <c r="C442">
        <v>151397.38</v>
      </c>
      <c r="D442">
        <v>183190.82980000001</v>
      </c>
    </row>
    <row r="443" spans="1:4" x14ac:dyDescent="0.25">
      <c r="A443" t="str">
        <f>"00532"</f>
        <v>00532</v>
      </c>
      <c r="B443" t="str">
        <f>"DURALBA FRENTES Y MUROS BASE F - 900 ML - ALBA"</f>
        <v>DURALBA FRENTES Y MUROS BASE F - 900 ML - ALBA</v>
      </c>
      <c r="C443">
        <v>12112.08</v>
      </c>
      <c r="D443">
        <v>14655.6168</v>
      </c>
    </row>
    <row r="444" spans="1:4" x14ac:dyDescent="0.25">
      <c r="A444" t="str">
        <f>"00533"</f>
        <v>00533</v>
      </c>
      <c r="B444" t="str">
        <f>"DURALBA FRENTES Y MUROS BASE P - 03,6 L - ALBA"</f>
        <v>DURALBA FRENTES Y MUROS BASE P - 03,6 L - ALBA</v>
      </c>
      <c r="C444">
        <v>41550.71</v>
      </c>
      <c r="D444">
        <v>50276.359099999994</v>
      </c>
    </row>
    <row r="445" spans="1:4" x14ac:dyDescent="0.25">
      <c r="A445" t="str">
        <f>"00534"</f>
        <v>00534</v>
      </c>
      <c r="B445" t="str">
        <f>"DURALBA FRENTES Y MUROS BASE P - 08,7 L - ALBA"</f>
        <v>DURALBA FRENTES Y MUROS BASE P - 08,7 L - ALBA</v>
      </c>
      <c r="C445">
        <v>89493.37</v>
      </c>
      <c r="D445">
        <v>108286.97769999999</v>
      </c>
    </row>
    <row r="446" spans="1:4" x14ac:dyDescent="0.25">
      <c r="A446" t="str">
        <f>"00535"</f>
        <v>00535</v>
      </c>
      <c r="B446" t="str">
        <f>"DURALBA FRENTES Y MUROS BASE P - 17,4 L - ALBA"</f>
        <v>DURALBA FRENTES Y MUROS BASE P - 17,4 L - ALBA</v>
      </c>
      <c r="C446">
        <v>159808.85999999999</v>
      </c>
      <c r="D446">
        <v>193368.72059999997</v>
      </c>
    </row>
    <row r="447" spans="1:4" x14ac:dyDescent="0.25">
      <c r="A447" t="str">
        <f>"00536"</f>
        <v>00536</v>
      </c>
      <c r="B447" t="str">
        <f>"DURALBA FRENTES Y MUROS BASE P - 900 ML - ALBA"</f>
        <v>DURALBA FRENTES Y MUROS BASE P - 900 ML - ALBA</v>
      </c>
      <c r="C447">
        <v>12784.91</v>
      </c>
      <c r="D447">
        <v>15469.741099999999</v>
      </c>
    </row>
    <row r="448" spans="1:4" x14ac:dyDescent="0.25">
      <c r="A448" t="str">
        <f>"00537"</f>
        <v>00537</v>
      </c>
      <c r="B448" t="str">
        <f>"DURALBA FRENTES Y MUROS BASE T - 03,6 L - ALBA"</f>
        <v>DURALBA FRENTES Y MUROS BASE T - 03,6 L - ALBA</v>
      </c>
      <c r="C448">
        <v>37176.25</v>
      </c>
      <c r="D448">
        <v>44983.262499999997</v>
      </c>
    </row>
    <row r="449" spans="1:4" x14ac:dyDescent="0.25">
      <c r="A449" t="str">
        <f>"00538"</f>
        <v>00538</v>
      </c>
      <c r="B449" t="str">
        <f>"DURALBA FRENTES Y MUROS BASE T - 17,4 L - ALBA"</f>
        <v>DURALBA FRENTES Y MUROS BASE T - 17,4 L - ALBA</v>
      </c>
      <c r="C449">
        <v>142986.93</v>
      </c>
      <c r="D449">
        <v>173014.18529999998</v>
      </c>
    </row>
    <row r="450" spans="1:4" x14ac:dyDescent="0.25">
      <c r="A450" t="str">
        <f>"00539"</f>
        <v>00539</v>
      </c>
      <c r="B450" t="str">
        <f>"DURALBA FRENTES Y MUROS BASE T - 900 ML - ALBA"</f>
        <v>DURALBA FRENTES Y MUROS BASE T - 900 ML - ALBA</v>
      </c>
      <c r="C450">
        <v>11439.24</v>
      </c>
      <c r="D450">
        <v>13841.480399999999</v>
      </c>
    </row>
    <row r="451" spans="1:4" x14ac:dyDescent="0.25">
      <c r="A451" t="str">
        <f>"00540"</f>
        <v>00540</v>
      </c>
      <c r="B451" t="str">
        <f>"DURALBA FRENTES Y MUROS BLANCO - 01 L - ALBA"</f>
        <v>DURALBA FRENTES Y MUROS BLANCO - 01 L - ALBA</v>
      </c>
      <c r="C451">
        <v>13457.75</v>
      </c>
      <c r="D451">
        <v>16283.877499999999</v>
      </c>
    </row>
    <row r="452" spans="1:4" x14ac:dyDescent="0.25">
      <c r="A452" t="str">
        <f>"00541"</f>
        <v>00541</v>
      </c>
      <c r="B452" t="str">
        <f>"DURALBA FRENTES Y MUROS BLANCO - 04 L - ALBA"</f>
        <v>DURALBA FRENTES Y MUROS BLANCO - 04 L - ALBA</v>
      </c>
      <c r="C452">
        <v>43737.43</v>
      </c>
      <c r="D452">
        <v>52922.290300000001</v>
      </c>
    </row>
    <row r="453" spans="1:4" x14ac:dyDescent="0.25">
      <c r="A453" t="str">
        <f>"00542"</f>
        <v>00542</v>
      </c>
      <c r="B453" t="str">
        <f>"DURALBA FRENTES Y MUROS BLANCO - 10 L - ALBA"</f>
        <v>DURALBA FRENTES Y MUROS BLANCO - 10 L - ALBA</v>
      </c>
      <c r="C453">
        <v>94203.22</v>
      </c>
      <c r="D453">
        <v>113985.8962</v>
      </c>
    </row>
    <row r="454" spans="1:4" x14ac:dyDescent="0.25">
      <c r="A454" t="str">
        <f>"00543"</f>
        <v>00543</v>
      </c>
      <c r="B454" t="str">
        <f>"DURALBA FRENTES Y MUROS BLANCO - 20 L - ALBA"</f>
        <v>DURALBA FRENTES Y MUROS BLANCO - 20 L - ALBA</v>
      </c>
      <c r="C454">
        <v>152926.65</v>
      </c>
      <c r="D454">
        <v>185041.24649999998</v>
      </c>
    </row>
    <row r="455" spans="1:4" x14ac:dyDescent="0.25">
      <c r="A455" t="str">
        <f>"00544"</f>
        <v>00544</v>
      </c>
      <c r="B455" t="str">
        <f>"DURALBA LADRILLOS NATURAL - 04 L - ALBA"</f>
        <v>DURALBA LADRILLOS NATURAL - 04 L - ALBA</v>
      </c>
      <c r="C455">
        <v>56771.09</v>
      </c>
      <c r="D455">
        <v>68693.018899999995</v>
      </c>
    </row>
    <row r="456" spans="1:4" x14ac:dyDescent="0.25">
      <c r="A456" t="str">
        <f>"00545"</f>
        <v>00545</v>
      </c>
      <c r="B456" t="str">
        <f>"DURALBA LADRILLOS NATURAL - 20 L - ALBA"</f>
        <v>DURALBA LADRILLOS NATURAL - 20 L - ALBA</v>
      </c>
      <c r="C456">
        <v>218348.69</v>
      </c>
      <c r="D456">
        <v>264201.91489999997</v>
      </c>
    </row>
    <row r="457" spans="1:4" x14ac:dyDescent="0.25">
      <c r="A457" t="str">
        <f>"00546"</f>
        <v>00546</v>
      </c>
      <c r="B457" t="str">
        <f>"DURALBA LADRILLOS SATINADO  - 01 L - ALBA"</f>
        <v>DURALBA LADRILLOS SATINADO  - 01 L - ALBA</v>
      </c>
      <c r="C457">
        <v>17468.259999999998</v>
      </c>
      <c r="D457">
        <v>21136.594599999997</v>
      </c>
    </row>
    <row r="458" spans="1:4" x14ac:dyDescent="0.25">
      <c r="A458" t="str">
        <f>"00547"</f>
        <v>00547</v>
      </c>
      <c r="B458" t="str">
        <f>"DURALBA LADRILLOS SATINADO  - 04 L - ALBA"</f>
        <v>DURALBA LADRILLOS SATINADO  - 04 L - ALBA</v>
      </c>
      <c r="C458">
        <v>56771.09</v>
      </c>
      <c r="D458">
        <v>68693.018899999995</v>
      </c>
    </row>
    <row r="459" spans="1:4" x14ac:dyDescent="0.25">
      <c r="A459" t="str">
        <f>"00548"</f>
        <v>00548</v>
      </c>
      <c r="B459" t="str">
        <f>"DURALBA LADRILLOS SATINADO  - 10 L - ALBA"</f>
        <v>DURALBA LADRILLOS SATINADO  - 10 L - ALBA</v>
      </c>
      <c r="C459">
        <v>122274.78</v>
      </c>
      <c r="D459">
        <v>147952.48379999999</v>
      </c>
    </row>
    <row r="460" spans="1:4" x14ac:dyDescent="0.25">
      <c r="A460" t="str">
        <f>"00549"</f>
        <v>00549</v>
      </c>
      <c r="B460" t="str">
        <f>"DURALBA LADRILLOS SATINADO  - 20 L - ALBA"</f>
        <v>DURALBA LADRILLOS SATINADO  - 20 L - ALBA</v>
      </c>
      <c r="C460">
        <v>218348.69</v>
      </c>
      <c r="D460">
        <v>264201.91489999997</v>
      </c>
    </row>
    <row r="461" spans="1:4" x14ac:dyDescent="0.25">
      <c r="A461" t="str">
        <f>"00550"</f>
        <v>00550</v>
      </c>
      <c r="B461" t="str">
        <f>"DURALBA LADRILLOS SATINADO CERAM - 01 L - ALBA"</f>
        <v>DURALBA LADRILLOS SATINADO CERAM - 01 L - ALBA</v>
      </c>
      <c r="C461">
        <v>17468.259999999998</v>
      </c>
      <c r="D461">
        <v>21136.594599999997</v>
      </c>
    </row>
    <row r="462" spans="1:4" x14ac:dyDescent="0.25">
      <c r="A462" t="str">
        <f>"00551"</f>
        <v>00551</v>
      </c>
      <c r="B462" t="str">
        <f>"DURALBA LADRILLOS SATINADO CERAM - 04 L - ALBA"</f>
        <v>DURALBA LADRILLOS SATINADO CERAM - 04 L - ALBA</v>
      </c>
      <c r="C462">
        <v>56771.09</v>
      </c>
      <c r="D462">
        <v>68693.018899999995</v>
      </c>
    </row>
    <row r="463" spans="1:4" x14ac:dyDescent="0.25">
      <c r="A463" t="str">
        <f>"00552"</f>
        <v>00552</v>
      </c>
      <c r="B463" t="str">
        <f>"DURALBA LADRILLOS SATINADO CERAM - 20 L - ALBA"</f>
        <v>DURALBA LADRILLOS SATINADO CERAM - 20 L - ALBA</v>
      </c>
      <c r="C463">
        <v>218348.69</v>
      </c>
      <c r="D463">
        <v>264201.91489999997</v>
      </c>
    </row>
    <row r="464" spans="1:4" x14ac:dyDescent="0.25">
      <c r="A464" t="str">
        <f>"00554"</f>
        <v>00554</v>
      </c>
      <c r="B464" t="str">
        <f>"DURALBA TECHOS FIBRADO BLANCO - 04 KG - ALBA"</f>
        <v>DURALBA TECHOS FIBRADO BLANCO - 04 KG - ALBA</v>
      </c>
      <c r="C464">
        <v>47752.42</v>
      </c>
      <c r="D464">
        <v>57780.428199999995</v>
      </c>
    </row>
    <row r="465" spans="1:4" x14ac:dyDescent="0.25">
      <c r="A465" t="str">
        <f>"00555"</f>
        <v>00555</v>
      </c>
      <c r="B465" t="str">
        <f>"DURALBA TECHOS FIBRADO BLANCO - 10 KG - ALBA"</f>
        <v>DURALBA TECHOS FIBRADO BLANCO - 10 KG - ALBA</v>
      </c>
      <c r="C465">
        <v>102850.19</v>
      </c>
      <c r="D465">
        <v>124448.72990000001</v>
      </c>
    </row>
    <row r="466" spans="1:4" x14ac:dyDescent="0.25">
      <c r="A466" t="str">
        <f>"00556"</f>
        <v>00556</v>
      </c>
      <c r="B466" t="str">
        <f>"DURALBA TECHOS FIBRADO BLANCO - 20 KG - ALBA"</f>
        <v>DURALBA TECHOS FIBRADO BLANCO - 20 KG - ALBA</v>
      </c>
      <c r="C466">
        <v>183661.93</v>
      </c>
      <c r="D466">
        <v>222230.93529999998</v>
      </c>
    </row>
    <row r="467" spans="1:4" x14ac:dyDescent="0.25">
      <c r="A467" t="str">
        <f>"00557"</f>
        <v>00557</v>
      </c>
      <c r="B467" t="str">
        <f>"DURALBA TECHOS FIBRADO TEJA - 04 KG - ALBA"</f>
        <v>DURALBA TECHOS FIBRADO TEJA - 04 KG - ALBA</v>
      </c>
      <c r="C467">
        <v>47752.02</v>
      </c>
      <c r="D467">
        <v>57779.944199999991</v>
      </c>
    </row>
    <row r="468" spans="1:4" x14ac:dyDescent="0.25">
      <c r="A468" t="str">
        <f>"00558"</f>
        <v>00558</v>
      </c>
      <c r="B468" t="str">
        <f>"DURALBA TECHOS FIBRADO TEJA - 10 KG - ALBA"</f>
        <v>DURALBA TECHOS FIBRADO TEJA - 10 KG - ALBA</v>
      </c>
      <c r="C468">
        <v>102850.19</v>
      </c>
      <c r="D468">
        <v>124448.72990000001</v>
      </c>
    </row>
    <row r="469" spans="1:4" x14ac:dyDescent="0.25">
      <c r="A469" t="str">
        <f>"00559"</f>
        <v>00559</v>
      </c>
      <c r="B469" t="str">
        <f>"DURALBA TECHOS FIBRADO TEJA - 20 KG - ALBA"</f>
        <v>DURALBA TECHOS FIBRADO TEJA - 20 KG - ALBA</v>
      </c>
      <c r="C469">
        <v>183661.93</v>
      </c>
      <c r="D469">
        <v>222230.93529999998</v>
      </c>
    </row>
    <row r="470" spans="1:4" x14ac:dyDescent="0.25">
      <c r="A470" t="str">
        <f>"00561"</f>
        <v>00561</v>
      </c>
      <c r="B470" t="str">
        <f>"DURALBA TECHOS S/FIBRA BLANCO - 04 KG - ALBA"</f>
        <v>DURALBA TECHOS S/FIBRA BLANCO - 04 KG - ALBA</v>
      </c>
      <c r="C470">
        <v>45049.46</v>
      </c>
      <c r="D470">
        <v>54509.846599999997</v>
      </c>
    </row>
    <row r="471" spans="1:4" x14ac:dyDescent="0.25">
      <c r="A471" t="str">
        <f>"00562"</f>
        <v>00562</v>
      </c>
      <c r="B471" t="str">
        <f>"DURALBA TECHOS S/FIBRA BLANCO - 10 KG - ALBA"</f>
        <v>DURALBA TECHOS S/FIBRA BLANCO - 10 KG - ALBA</v>
      </c>
      <c r="C471">
        <v>97029.79</v>
      </c>
      <c r="D471">
        <v>117406.04589999998</v>
      </c>
    </row>
    <row r="472" spans="1:4" x14ac:dyDescent="0.25">
      <c r="A472" t="str">
        <f>"00563"</f>
        <v>00563</v>
      </c>
      <c r="B472" t="str">
        <f>"DURALBA TECHOS S/FIBRA BLANCO - 20 KG - ALBA"</f>
        <v>DURALBA TECHOS S/FIBRA BLANCO - 20 KG - ALBA</v>
      </c>
      <c r="C472">
        <v>173266.44</v>
      </c>
      <c r="D472">
        <v>209652.39239999998</v>
      </c>
    </row>
    <row r="473" spans="1:4" x14ac:dyDescent="0.25">
      <c r="A473" t="str">
        <f>"00564"</f>
        <v>00564</v>
      </c>
      <c r="B473" t="str">
        <f>"DURALBA TECHOS S/FIBRA TEJA - 04 KG - ALBA"</f>
        <v>DURALBA TECHOS S/FIBRA TEJA - 04 KG - ALBA</v>
      </c>
      <c r="C473">
        <v>45049.46</v>
      </c>
      <c r="D473">
        <v>54509.846599999997</v>
      </c>
    </row>
    <row r="474" spans="1:4" x14ac:dyDescent="0.25">
      <c r="A474" t="str">
        <f>"00565"</f>
        <v>00565</v>
      </c>
      <c r="B474" t="str">
        <f>"DURALBA TECHOS S/FIBRA TEJA - 10 KG - ALBA"</f>
        <v>DURALBA TECHOS S/FIBRA TEJA - 10 KG - ALBA</v>
      </c>
      <c r="C474">
        <v>97029.79</v>
      </c>
      <c r="D474">
        <v>117406.04589999998</v>
      </c>
    </row>
    <row r="475" spans="1:4" x14ac:dyDescent="0.25">
      <c r="A475" t="str">
        <f>"00566"</f>
        <v>00566</v>
      </c>
      <c r="B475" t="str">
        <f>"DURALBA TECHOS S/FIBRA TEJA - 20 KG - ALBA"</f>
        <v>DURALBA TECHOS S/FIBRA TEJA - 20 KG - ALBA</v>
      </c>
      <c r="C475">
        <v>173266.61</v>
      </c>
      <c r="D475">
        <v>209652.59809999997</v>
      </c>
    </row>
    <row r="476" spans="1:4" x14ac:dyDescent="0.25">
      <c r="A476" t="str">
        <f>"00567"</f>
        <v>00567</v>
      </c>
      <c r="B476" t="str">
        <f>"DURALBA TECHOS TOTAL BLANCO - 04 KG - ALBA"</f>
        <v>DURALBA TECHOS TOTAL BLANCO - 04 KG - ALBA</v>
      </c>
      <c r="C476">
        <v>50617.69</v>
      </c>
      <c r="D476">
        <v>61247.404900000001</v>
      </c>
    </row>
    <row r="477" spans="1:4" x14ac:dyDescent="0.25">
      <c r="A477" t="str">
        <f>"00568"</f>
        <v>00568</v>
      </c>
      <c r="B477" t="str">
        <f>"DURALBA TECHOS TOTAL BLANCO - 20 KG - ALBA"</f>
        <v>DURALBA TECHOS TOTAL BLANCO - 20 KG - ALBA</v>
      </c>
      <c r="C477">
        <v>194682.17</v>
      </c>
      <c r="D477">
        <v>235565.42570000002</v>
      </c>
    </row>
    <row r="478" spans="1:4" x14ac:dyDescent="0.25">
      <c r="A478" t="str">
        <f>"00569"</f>
        <v>00569</v>
      </c>
      <c r="B478" t="str">
        <f>"EFECTO ESPECIAL DESIGN CEMENTO BASE 3,24 L  - ALBA"</f>
        <v>EFECTO ESPECIAL DESIGN CEMENTO BASE 3,24 L  - ALBA</v>
      </c>
      <c r="C478">
        <v>61429.97</v>
      </c>
      <c r="D478">
        <v>74330.263699999996</v>
      </c>
    </row>
    <row r="479" spans="1:4" x14ac:dyDescent="0.25">
      <c r="A479" t="str">
        <f>"00570"</f>
        <v>00570</v>
      </c>
      <c r="B479" t="str">
        <f>"EFECTO ESPECIAL DESIGN MARMOL BASE 3,24 L - ALBA"</f>
        <v>EFECTO ESPECIAL DESIGN MARMOL BASE 3,24 L - ALBA</v>
      </c>
      <c r="C479">
        <v>61993.73</v>
      </c>
      <c r="D479">
        <v>75012.4133</v>
      </c>
    </row>
    <row r="480" spans="1:4" x14ac:dyDescent="0.25">
      <c r="A480" t="str">
        <f>"00571"</f>
        <v>00571</v>
      </c>
      <c r="B480" t="str">
        <f>"EFECTO ESPECIAL DESIGN VELVET BASE - 02,1 L - ALBA"</f>
        <v>EFECTO ESPECIAL DESIGN VELVET BASE - 02,1 L - ALBA</v>
      </c>
      <c r="C480">
        <v>107188.97</v>
      </c>
      <c r="D480">
        <v>129698.6537</v>
      </c>
    </row>
    <row r="481" spans="1:4" x14ac:dyDescent="0.25">
      <c r="A481" t="str">
        <f>"00572"</f>
        <v>00572</v>
      </c>
      <c r="B481" t="str">
        <f>"FDO INDUSTRIAL ANTICORROSIVO GRIS - 04 L - ALBA"</f>
        <v>FDO INDUSTRIAL ANTICORROSIVO GRIS - 04 L - ALBA</v>
      </c>
      <c r="C481">
        <v>32227.31</v>
      </c>
      <c r="D481">
        <v>38995.045100000003</v>
      </c>
    </row>
    <row r="482" spans="1:4" x14ac:dyDescent="0.25">
      <c r="A482" t="str">
        <f>"00573"</f>
        <v>00573</v>
      </c>
      <c r="B482" t="str">
        <f>"FDO INDUSTRIAL ANTICORROSIVO GRIS - 20 L - ALBA"</f>
        <v>FDO INDUSTRIAL ANTICORROSIVO GRIS - 20 L - ALBA</v>
      </c>
      <c r="C482">
        <v>145022.9</v>
      </c>
      <c r="D482">
        <v>175477.70899999997</v>
      </c>
    </row>
    <row r="483" spans="1:4" x14ac:dyDescent="0.25">
      <c r="A483" t="str">
        <f>"00574"</f>
        <v>00574</v>
      </c>
      <c r="B483" t="str">
        <f>"FDO INDUSTRIAL CONVERTIDOR BLANCO - 20 L - ALBA"</f>
        <v>FDO INDUSTRIAL CONVERTIDOR BLANCO - 20 L - ALBA</v>
      </c>
      <c r="C483">
        <v>223196.48</v>
      </c>
      <c r="D483">
        <v>270067.74080000003</v>
      </c>
    </row>
    <row r="484" spans="1:4" x14ac:dyDescent="0.25">
      <c r="A484" t="str">
        <f>"00575"</f>
        <v>00575</v>
      </c>
      <c r="B484" t="str">
        <f>"HOGAR FIJADOR AL AGUA - 01 L - ALBA"</f>
        <v>HOGAR FIJADOR AL AGUA - 01 L - ALBA</v>
      </c>
      <c r="C484">
        <v>4009.49</v>
      </c>
      <c r="D484">
        <v>4851.4829</v>
      </c>
    </row>
    <row r="485" spans="1:4" x14ac:dyDescent="0.25">
      <c r="A485" t="str">
        <f>"00576"</f>
        <v>00576</v>
      </c>
      <c r="B485" t="str">
        <f>"HOGAR FIJADOR AL AGUA - 04 L - ALBA"</f>
        <v>HOGAR FIJADOR AL AGUA - 04 L - ALBA</v>
      </c>
      <c r="C485">
        <v>12532.09</v>
      </c>
      <c r="D485">
        <v>15163.8289</v>
      </c>
    </row>
    <row r="486" spans="1:4" x14ac:dyDescent="0.25">
      <c r="A486" t="str">
        <f>"00577"</f>
        <v>00577</v>
      </c>
      <c r="B486" t="str">
        <f>"HOGAR FIJADOR AL AGUA - 10 L - ALBA"</f>
        <v>HOGAR FIJADOR AL AGUA - 10 L - ALBA</v>
      </c>
      <c r="C486">
        <v>28517.05</v>
      </c>
      <c r="D486">
        <v>34505.630499999999</v>
      </c>
    </row>
    <row r="487" spans="1:4" x14ac:dyDescent="0.25">
      <c r="A487" t="str">
        <f>"00578"</f>
        <v>00578</v>
      </c>
      <c r="B487" t="str">
        <f>"HOGAR FIJADOR AL AGUA - 20 L - ALBA"</f>
        <v>HOGAR FIJADOR AL AGUA - 20 L - ALBA</v>
      </c>
      <c r="C487">
        <v>50131.41</v>
      </c>
      <c r="D487">
        <v>60659.006100000006</v>
      </c>
    </row>
    <row r="488" spans="1:4" x14ac:dyDescent="0.25">
      <c r="A488" t="str">
        <f>"00583"</f>
        <v>00583</v>
      </c>
      <c r="B488" t="str">
        <f>"HOGAR LATEX INT/EXT BLANCO - 01 L - ALBA"</f>
        <v>HOGAR LATEX INT/EXT BLANCO - 01 L - ALBA</v>
      </c>
      <c r="C488">
        <v>6161.55</v>
      </c>
      <c r="D488">
        <v>7455.4754999999996</v>
      </c>
    </row>
    <row r="489" spans="1:4" x14ac:dyDescent="0.25">
      <c r="A489" t="str">
        <f>"00584"</f>
        <v>00584</v>
      </c>
      <c r="B489" t="str">
        <f>"HOGAR LATEX INT/EXT BLANCO - 04 L - ALBA"</f>
        <v>HOGAR LATEX INT/EXT BLANCO - 04 L - ALBA</v>
      </c>
      <c r="C489">
        <v>20025.04</v>
      </c>
      <c r="D489">
        <v>24230.2984</v>
      </c>
    </row>
    <row r="490" spans="1:4" x14ac:dyDescent="0.25">
      <c r="A490" t="str">
        <f>"00585"</f>
        <v>00585</v>
      </c>
      <c r="B490" t="str">
        <f>"HOGAR LATEX INT/EXT BLANCO - 10 L - ALBA"</f>
        <v>HOGAR LATEX INT/EXT BLANCO - 10 L - ALBA</v>
      </c>
      <c r="C490">
        <v>42411.13</v>
      </c>
      <c r="D490">
        <v>51317.467299999997</v>
      </c>
    </row>
    <row r="491" spans="1:4" x14ac:dyDescent="0.25">
      <c r="A491" t="str">
        <f>"00586"</f>
        <v>00586</v>
      </c>
      <c r="B491" t="str">
        <f>"HOGAR LATEX INT/EXT BLANCO - 20 L - ALBA"</f>
        <v>HOGAR LATEX INT/EXT BLANCO - 20 L - ALBA</v>
      </c>
      <c r="C491">
        <v>75734.880000000005</v>
      </c>
      <c r="D491">
        <v>91639.204800000007</v>
      </c>
    </row>
    <row r="492" spans="1:4" x14ac:dyDescent="0.25">
      <c r="A492" t="str">
        <f>"00612"</f>
        <v>00612</v>
      </c>
      <c r="B492" t="str">
        <f>"PILETAS ACRILICO BLANCO - 04 L - ALBA"</f>
        <v>PILETAS ACRILICO BLANCO - 04 L - ALBA</v>
      </c>
      <c r="C492">
        <v>59839.63</v>
      </c>
      <c r="D492">
        <v>72405.95229999999</v>
      </c>
    </row>
    <row r="493" spans="1:4" x14ac:dyDescent="0.25">
      <c r="A493" t="str">
        <f>"00613"</f>
        <v>00613</v>
      </c>
      <c r="B493" t="str">
        <f>"PILETAS ACRILICO CELESTE - 04 L - ALBA"</f>
        <v>PILETAS ACRILICO CELESTE - 04 L - ALBA</v>
      </c>
      <c r="C493">
        <v>59839.63</v>
      </c>
      <c r="D493">
        <v>72405.95229999999</v>
      </c>
    </row>
    <row r="494" spans="1:4" x14ac:dyDescent="0.25">
      <c r="A494" t="str">
        <f>"00614"</f>
        <v>00614</v>
      </c>
      <c r="B494" t="str">
        <f>"PILETAS ACRILICO CELESTE - 10 L - ALBA"</f>
        <v>PILETAS ACRILICO CELESTE - 10 L - ALBA</v>
      </c>
      <c r="C494">
        <v>134639.67999999999</v>
      </c>
      <c r="D494">
        <v>162914.0128</v>
      </c>
    </row>
    <row r="495" spans="1:4" x14ac:dyDescent="0.25">
      <c r="A495" t="str">
        <f>"00615"</f>
        <v>00615</v>
      </c>
      <c r="B495" t="str">
        <f>"PILETAS ACRILICO CELESTE PROF - 04 L - ALBA"</f>
        <v>PILETAS ACRILICO CELESTE PROF - 04 L - ALBA</v>
      </c>
      <c r="C495">
        <v>59839.63</v>
      </c>
      <c r="D495">
        <v>72405.95229999999</v>
      </c>
    </row>
    <row r="496" spans="1:4" x14ac:dyDescent="0.25">
      <c r="A496" t="str">
        <f>"00616"</f>
        <v>00616</v>
      </c>
      <c r="B496" t="str">
        <f>"PILETAS C CLORADO BLANCO - 04 L - ALBA"</f>
        <v>PILETAS C CLORADO BLANCO - 04 L - ALBA</v>
      </c>
      <c r="C496">
        <v>77793.149999999994</v>
      </c>
      <c r="D496">
        <v>94129.71149999999</v>
      </c>
    </row>
    <row r="497" spans="1:4" x14ac:dyDescent="0.25">
      <c r="A497" t="str">
        <f>"00617"</f>
        <v>00617</v>
      </c>
      <c r="B497" t="str">
        <f>"PILETAS C CLORADO CELESTE - 04 L - ALBA"</f>
        <v>PILETAS C CLORADO CELESTE - 04 L - ALBA</v>
      </c>
      <c r="C497">
        <v>77793.149999999994</v>
      </c>
      <c r="D497">
        <v>94129.71149999999</v>
      </c>
    </row>
    <row r="498" spans="1:4" x14ac:dyDescent="0.25">
      <c r="A498" t="str">
        <f>"00618"</f>
        <v>00618</v>
      </c>
      <c r="B498" t="str">
        <f>"PILETAS C CLORADO CELESTE PROF - 04 L - ALBA"</f>
        <v>PILETAS C CLORADO CELESTE PROF - 04 L - ALBA</v>
      </c>
      <c r="C498">
        <v>77793.149999999994</v>
      </c>
      <c r="D498">
        <v>94129.71149999999</v>
      </c>
    </row>
    <row r="499" spans="1:4" x14ac:dyDescent="0.25">
      <c r="A499" t="str">
        <f>"00619"</f>
        <v>00619</v>
      </c>
      <c r="B499" t="str">
        <f>"PILETAS C CLORADO CELESTE PROF - 20 L - ALBA"</f>
        <v>PILETAS C CLORADO CELESTE PROF - 20 L - ALBA</v>
      </c>
      <c r="C499">
        <v>342290.26</v>
      </c>
      <c r="D499">
        <v>414171.21460000001</v>
      </c>
    </row>
    <row r="500" spans="1:4" x14ac:dyDescent="0.25">
      <c r="A500" t="str">
        <f>"00620"</f>
        <v>00620</v>
      </c>
      <c r="B500" t="str">
        <f>"PISOS LATEX ACRIL AZUL - 01 L - ALBA"</f>
        <v>PISOS LATEX ACRIL AZUL - 01 L - ALBA</v>
      </c>
      <c r="C500">
        <v>16226.57</v>
      </c>
      <c r="D500">
        <v>19634.149699999998</v>
      </c>
    </row>
    <row r="501" spans="1:4" x14ac:dyDescent="0.25">
      <c r="A501" t="str">
        <f>"00621"</f>
        <v>00621</v>
      </c>
      <c r="B501" t="str">
        <f>"PISOS LATEX ACRIL AZUL - 04 L - ALBA"</f>
        <v>PISOS LATEX ACRIL AZUL - 04 L - ALBA</v>
      </c>
      <c r="C501">
        <v>52736.11</v>
      </c>
      <c r="D501">
        <v>63810.693099999997</v>
      </c>
    </row>
    <row r="502" spans="1:4" x14ac:dyDescent="0.25">
      <c r="A502" t="str">
        <f>"00622"</f>
        <v>00622</v>
      </c>
      <c r="B502" t="str">
        <f>"PISOS LATEX ACRIL AZUL - 20 L - ALBA"</f>
        <v>PISOS LATEX ACRIL AZUL - 20 L - ALBA</v>
      </c>
      <c r="C502">
        <v>202831.65</v>
      </c>
      <c r="D502">
        <v>245426.2965</v>
      </c>
    </row>
    <row r="503" spans="1:4" x14ac:dyDescent="0.25">
      <c r="A503" t="str">
        <f>"00623"</f>
        <v>00623</v>
      </c>
      <c r="B503" t="str">
        <f>"PISOS LATEX ACRIL CENIZA - 01 L - ALBA"</f>
        <v>PISOS LATEX ACRIL CENIZA - 01 L - ALBA</v>
      </c>
      <c r="C503">
        <v>16226.57</v>
      </c>
      <c r="D503">
        <v>19634.149699999998</v>
      </c>
    </row>
    <row r="504" spans="1:4" x14ac:dyDescent="0.25">
      <c r="A504" t="str">
        <f>"00624"</f>
        <v>00624</v>
      </c>
      <c r="B504" t="str">
        <f>"PISOS LATEX ACRIL CENIZA - 04 L - ALBA"</f>
        <v>PISOS LATEX ACRIL CENIZA - 04 L - ALBA</v>
      </c>
      <c r="C504">
        <v>52736.11</v>
      </c>
      <c r="D504">
        <v>63810.693099999997</v>
      </c>
    </row>
    <row r="505" spans="1:4" x14ac:dyDescent="0.25">
      <c r="A505" t="str">
        <f>"00625"</f>
        <v>00625</v>
      </c>
      <c r="B505" t="str">
        <f>"PISOS LATEX ACRIL CENIZA - 20 L - ALBA"</f>
        <v>PISOS LATEX ACRIL CENIZA - 20 L - ALBA</v>
      </c>
      <c r="C505">
        <v>202831.65</v>
      </c>
      <c r="D505">
        <v>245426.2965</v>
      </c>
    </row>
    <row r="506" spans="1:4" x14ac:dyDescent="0.25">
      <c r="A506" t="str">
        <f>"00626"</f>
        <v>00626</v>
      </c>
      <c r="B506" t="str">
        <f>"PISOS LATEX ACRIL GRAFITO - 01 L - ALBA"</f>
        <v>PISOS LATEX ACRIL GRAFITO - 01 L - ALBA</v>
      </c>
      <c r="C506">
        <v>16226.57</v>
      </c>
      <c r="D506">
        <v>19634.149699999998</v>
      </c>
    </row>
    <row r="507" spans="1:4" x14ac:dyDescent="0.25">
      <c r="A507" t="str">
        <f>"00627"</f>
        <v>00627</v>
      </c>
      <c r="B507" t="str">
        <f>"PISOS LATEX ACRIL GRAFITO - 04 L - ALBA"</f>
        <v>PISOS LATEX ACRIL GRAFITO - 04 L - ALBA</v>
      </c>
      <c r="C507">
        <v>52736.11</v>
      </c>
      <c r="D507">
        <v>63810.693099999997</v>
      </c>
    </row>
    <row r="508" spans="1:4" x14ac:dyDescent="0.25">
      <c r="A508" t="str">
        <f>"00628"</f>
        <v>00628</v>
      </c>
      <c r="B508" t="str">
        <f>"PISOS LATEX ACRIL GRAFITO - 20 L - ALBA"</f>
        <v>PISOS LATEX ACRIL GRAFITO - 20 L - ALBA</v>
      </c>
      <c r="C508">
        <v>202831.65</v>
      </c>
      <c r="D508">
        <v>245426.2965</v>
      </c>
    </row>
    <row r="509" spans="1:4" x14ac:dyDescent="0.25">
      <c r="A509" t="str">
        <f>"00629"</f>
        <v>00629</v>
      </c>
      <c r="B509" t="str">
        <f>"PISOS LATEX ACRIL NEGRO - 01 L - ALBA"</f>
        <v>PISOS LATEX ACRIL NEGRO - 01 L - ALBA</v>
      </c>
      <c r="C509">
        <v>16226.57</v>
      </c>
      <c r="D509">
        <v>19634.149699999998</v>
      </c>
    </row>
    <row r="510" spans="1:4" x14ac:dyDescent="0.25">
      <c r="A510" t="str">
        <f>"00630"</f>
        <v>00630</v>
      </c>
      <c r="B510" t="str">
        <f>"PISOS LATEX ACRIL NEGRO - 04 L - ALBA"</f>
        <v>PISOS LATEX ACRIL NEGRO - 04 L - ALBA</v>
      </c>
      <c r="C510">
        <v>52736.11</v>
      </c>
      <c r="D510">
        <v>63810.693099999997</v>
      </c>
    </row>
    <row r="511" spans="1:4" x14ac:dyDescent="0.25">
      <c r="A511" t="str">
        <f>"00631"</f>
        <v>00631</v>
      </c>
      <c r="B511" t="str">
        <f>"PISOS LATEX ACRIL ROJO COLONIAL - 01 L - ALBA"</f>
        <v>PISOS LATEX ACRIL ROJO COLONIAL - 01 L - ALBA</v>
      </c>
      <c r="C511">
        <v>16226.57</v>
      </c>
      <c r="D511">
        <v>19634.149699999998</v>
      </c>
    </row>
    <row r="512" spans="1:4" x14ac:dyDescent="0.25">
      <c r="A512" t="str">
        <f>"00632"</f>
        <v>00632</v>
      </c>
      <c r="B512" t="str">
        <f>"PISOS LATEX ACRIL ROJO COLONIAL - 04 L - ALBA"</f>
        <v>PISOS LATEX ACRIL ROJO COLONIAL - 04 L - ALBA</v>
      </c>
      <c r="C512">
        <v>52736.11</v>
      </c>
      <c r="D512">
        <v>63810.693099999997</v>
      </c>
    </row>
    <row r="513" spans="1:4" x14ac:dyDescent="0.25">
      <c r="A513" t="str">
        <f>"00633"</f>
        <v>00633</v>
      </c>
      <c r="B513" t="str">
        <f>"PISOS LATEX ACRIL ROJO COLONIAL - 20 L - ALBA"</f>
        <v>PISOS LATEX ACRIL ROJO COLONIAL - 20 L - ALBA</v>
      </c>
      <c r="C513">
        <v>202831.65</v>
      </c>
      <c r="D513">
        <v>245426.2965</v>
      </c>
    </row>
    <row r="514" spans="1:4" x14ac:dyDescent="0.25">
      <c r="A514" t="str">
        <f>"00634"</f>
        <v>00634</v>
      </c>
      <c r="B514" t="str">
        <f>"PISOS LATEX ACRIL VERDE TENIS - 01 L - ALBA"</f>
        <v>PISOS LATEX ACRIL VERDE TENIS - 01 L - ALBA</v>
      </c>
      <c r="C514">
        <v>16226.57</v>
      </c>
      <c r="D514">
        <v>19634.149699999998</v>
      </c>
    </row>
    <row r="515" spans="1:4" x14ac:dyDescent="0.25">
      <c r="A515" t="str">
        <f>"00635"</f>
        <v>00635</v>
      </c>
      <c r="B515" t="str">
        <f>"PISOS LATEX ACRIL VERDE TENIS - 04 L - ALBA"</f>
        <v>PISOS LATEX ACRIL VERDE TENIS - 04 L - ALBA</v>
      </c>
      <c r="C515">
        <v>52736.11</v>
      </c>
      <c r="D515">
        <v>63810.693099999997</v>
      </c>
    </row>
    <row r="516" spans="1:4" x14ac:dyDescent="0.25">
      <c r="A516" t="str">
        <f>"00636"</f>
        <v>00636</v>
      </c>
      <c r="B516" t="str">
        <f>"PISOS LATEX ACRIL VERDE TENIS - 20 L - ALBA"</f>
        <v>PISOS LATEX ACRIL VERDE TENIS - 20 L - ALBA</v>
      </c>
      <c r="C516">
        <v>202831.65</v>
      </c>
      <c r="D516">
        <v>245426.2965</v>
      </c>
    </row>
    <row r="517" spans="1:4" x14ac:dyDescent="0.25">
      <c r="A517" t="str">
        <f>"00637"</f>
        <v>00637</v>
      </c>
      <c r="B517" t="str">
        <f>"PIZARRONES NEGRO -  500 ML - ALBA"</f>
        <v>PIZARRONES NEGRO -  500 ML - ALBA</v>
      </c>
      <c r="C517">
        <v>8054.67</v>
      </c>
      <c r="D517">
        <v>9746.1507000000001</v>
      </c>
    </row>
    <row r="518" spans="1:4" x14ac:dyDescent="0.25">
      <c r="A518" t="str">
        <f>"00638"</f>
        <v>00638</v>
      </c>
      <c r="B518" t="str">
        <f>"PIZARRONES NEGRO - 01 L - ALBA"</f>
        <v>PIZARRONES NEGRO - 01 L - ALBA</v>
      </c>
      <c r="C518">
        <v>13741.16</v>
      </c>
      <c r="D518">
        <v>16626.803599999999</v>
      </c>
    </row>
    <row r="519" spans="1:4" x14ac:dyDescent="0.25">
      <c r="A519" t="str">
        <f>"00639"</f>
        <v>00639</v>
      </c>
      <c r="B519" t="str">
        <f>"PIZARRONES VERDE - 01 L - ALBA"</f>
        <v>PIZARRONES VERDE - 01 L - ALBA</v>
      </c>
      <c r="C519">
        <v>20509.28</v>
      </c>
      <c r="D519">
        <v>24816.228799999997</v>
      </c>
    </row>
    <row r="520" spans="1:4" x14ac:dyDescent="0.25">
      <c r="A520" t="str">
        <f>"00666"</f>
        <v>00666</v>
      </c>
      <c r="B520" t="str">
        <f>"SATINOL 2 EN 1 BLANCO - 01 L - ALBA"</f>
        <v>SATINOL 2 EN 1 BLANCO - 01 L - ALBA</v>
      </c>
      <c r="C520">
        <v>24120.17</v>
      </c>
      <c r="D520">
        <v>29185.405699999996</v>
      </c>
    </row>
    <row r="521" spans="1:4" x14ac:dyDescent="0.25">
      <c r="A521" t="str">
        <f>"00667"</f>
        <v>00667</v>
      </c>
      <c r="B521" t="str">
        <f>"SATINOL 2 EN 1 BLANCO - 04 L - ALBA"</f>
        <v>SATINOL 2 EN 1 BLANCO - 04 L - ALBA</v>
      </c>
      <c r="C521">
        <v>83171.759999999995</v>
      </c>
      <c r="D521">
        <v>100637.8296</v>
      </c>
    </row>
    <row r="522" spans="1:4" x14ac:dyDescent="0.25">
      <c r="A522" t="str">
        <f>"00668"</f>
        <v>00668</v>
      </c>
      <c r="B522" t="str">
        <f>"SATINOL 2 EN 1 NEGRO - 01 L - ALBA"</f>
        <v>SATINOL 2 EN 1 NEGRO - 01 L - ALBA</v>
      </c>
      <c r="C522">
        <v>20502.14</v>
      </c>
      <c r="D522">
        <v>24807.589399999997</v>
      </c>
    </row>
    <row r="523" spans="1:4" x14ac:dyDescent="0.25">
      <c r="A523" t="str">
        <f>"00669"</f>
        <v>00669</v>
      </c>
      <c r="B523" t="str">
        <f>"SATINOL 2 EN 1 NEGRO - 04 L - ALBA"</f>
        <v>SATINOL 2 EN 1 NEGRO - 04 L - ALBA</v>
      </c>
      <c r="C523">
        <v>70695.740000000005</v>
      </c>
      <c r="D523">
        <v>85541.845400000006</v>
      </c>
    </row>
    <row r="524" spans="1:4" x14ac:dyDescent="0.25">
      <c r="A524" t="str">
        <f>"00670"</f>
        <v>00670</v>
      </c>
      <c r="B524" t="str">
        <f>"SATINOL BALANCE BASE MF -  900 ML - ALBA"</f>
        <v>SATINOL BALANCE BASE MF -  900 ML - ALBA</v>
      </c>
      <c r="C524">
        <v>17271.509999999998</v>
      </c>
      <c r="D524">
        <v>20898.527099999996</v>
      </c>
    </row>
    <row r="525" spans="1:4" x14ac:dyDescent="0.25">
      <c r="A525" t="str">
        <f>"00671"</f>
        <v>00671</v>
      </c>
      <c r="B525" t="str">
        <f>"SATINOL BALANCE BASE MF - 03,6 L - ALBA"</f>
        <v>SATINOL BALANCE BASE MF - 03,6 L - ALBA</v>
      </c>
      <c r="C525">
        <v>59556.22</v>
      </c>
      <c r="D525">
        <v>72063.026199999993</v>
      </c>
    </row>
    <row r="526" spans="1:4" x14ac:dyDescent="0.25">
      <c r="A526" t="str">
        <f>"00672"</f>
        <v>00672</v>
      </c>
      <c r="B526" t="str">
        <f>"SATINOL BALANCE BASE T -  900 ML - ALBA"</f>
        <v>SATINOL BALANCE BASE T -  900 ML - ALBA</v>
      </c>
      <c r="C526">
        <v>15499.71</v>
      </c>
      <c r="D526">
        <v>18754.649099999999</v>
      </c>
    </row>
    <row r="527" spans="1:4" x14ac:dyDescent="0.25">
      <c r="A527" t="str">
        <f>"00673"</f>
        <v>00673</v>
      </c>
      <c r="B527" t="str">
        <f>"SATINOL BALANCE BASE T - 03,6 L - ALBA"</f>
        <v>SATINOL BALANCE BASE T - 03,6 L - ALBA</v>
      </c>
      <c r="C527">
        <v>53448.7</v>
      </c>
      <c r="D527">
        <v>64672.926999999996</v>
      </c>
    </row>
    <row r="528" spans="1:4" x14ac:dyDescent="0.25">
      <c r="A528" t="str">
        <f>"00674"</f>
        <v>00674</v>
      </c>
      <c r="B528" t="str">
        <f>"SATINOL BALANCE BLANCO -  500 ML - ALBA"</f>
        <v>SATINOL BALANCE BLANCO -  500 ML - ALBA</v>
      </c>
      <c r="C528">
        <v>12980.65</v>
      </c>
      <c r="D528">
        <v>15706.586499999999</v>
      </c>
    </row>
    <row r="529" spans="1:4" x14ac:dyDescent="0.25">
      <c r="A529" t="str">
        <f>"00675"</f>
        <v>00675</v>
      </c>
      <c r="B529" t="str">
        <f>"SATINOL BALANCE BLANCO - 01 L - ALBA"</f>
        <v>SATINOL BALANCE BLANCO - 01 L - ALBA</v>
      </c>
      <c r="C529">
        <v>22142.44</v>
      </c>
      <c r="D529">
        <v>26792.352399999996</v>
      </c>
    </row>
    <row r="530" spans="1:4" x14ac:dyDescent="0.25">
      <c r="A530" t="str">
        <f>"00676"</f>
        <v>00676</v>
      </c>
      <c r="B530" t="str">
        <f>"SATINOL BALANCE BLANCO - 04 L - ALBA"</f>
        <v>SATINOL BALANCE BLANCO - 04 L - ALBA</v>
      </c>
      <c r="C530">
        <v>76354.710000000006</v>
      </c>
      <c r="D530">
        <v>92389.199099999998</v>
      </c>
    </row>
    <row r="531" spans="1:4" x14ac:dyDescent="0.25">
      <c r="A531" t="str">
        <f>"00677"</f>
        <v>00677</v>
      </c>
      <c r="B531" t="str">
        <f>"SATINOL BALANCE BLANCO - 20 L - ALBA"</f>
        <v>SATINOL BALANCE BLANCO - 20 L - ALBA</v>
      </c>
      <c r="C531">
        <v>343596.18</v>
      </c>
      <c r="D531">
        <v>415751.37779999996</v>
      </c>
    </row>
    <row r="532" spans="1:4" x14ac:dyDescent="0.25">
      <c r="A532" t="str">
        <f>"00680"</f>
        <v>00680</v>
      </c>
      <c r="B532" t="str">
        <f>"SATINOL BALANCE NEGRO -  500 ML - ALBA"</f>
        <v>SATINOL BALANCE NEGRO -  500 ML - ALBA</v>
      </c>
      <c r="C532">
        <v>11033.5</v>
      </c>
      <c r="D532">
        <v>13350.535</v>
      </c>
    </row>
    <row r="533" spans="1:4" x14ac:dyDescent="0.25">
      <c r="A533" t="str">
        <f>"00681"</f>
        <v>00681</v>
      </c>
      <c r="B533" t="str">
        <f>"SATINOL BALANCE NEGRO - 01 L - ALBA"</f>
        <v>SATINOL BALANCE NEGRO - 01 L - ALBA</v>
      </c>
      <c r="C533">
        <v>18821.07</v>
      </c>
      <c r="D533">
        <v>22773.494699999999</v>
      </c>
    </row>
    <row r="534" spans="1:4" x14ac:dyDescent="0.25">
      <c r="A534" t="str">
        <f>"00682"</f>
        <v>00682</v>
      </c>
      <c r="B534" t="str">
        <f>"SATINOL BALANCE NEGRO - 04 L - ALBA"</f>
        <v>SATINOL BALANCE NEGRO - 04 L - ALBA</v>
      </c>
      <c r="C534">
        <v>64901.19</v>
      </c>
      <c r="D534">
        <v>78530.439899999998</v>
      </c>
    </row>
    <row r="535" spans="1:4" x14ac:dyDescent="0.25">
      <c r="A535" t="str">
        <f>"00687"</f>
        <v>00687</v>
      </c>
      <c r="B535" t="str">
        <f>"SATINOL BASE F -  900 ML - ALBA"</f>
        <v>SATINOL BASE F -  900 ML - ALBA</v>
      </c>
      <c r="C535">
        <v>15421.21</v>
      </c>
      <c r="D535">
        <v>18659.664099999998</v>
      </c>
    </row>
    <row r="536" spans="1:4" x14ac:dyDescent="0.25">
      <c r="A536" t="str">
        <f>"00688"</f>
        <v>00688</v>
      </c>
      <c r="B536" t="str">
        <f>"SATINOL BASE F - 03,6 L - ALBA"</f>
        <v>SATINOL BASE F - 03,6 L - ALBA</v>
      </c>
      <c r="C536">
        <v>53176.51</v>
      </c>
      <c r="D536">
        <v>64343.577100000002</v>
      </c>
    </row>
    <row r="537" spans="1:4" x14ac:dyDescent="0.25">
      <c r="A537" t="str">
        <f>"00689"</f>
        <v>00689</v>
      </c>
      <c r="B537" t="str">
        <f>"SATINOL BASE F - 17,4 L - ALBA"</f>
        <v>SATINOL BASE F - 17,4 L - ALBA</v>
      </c>
      <c r="C537">
        <v>239294.29</v>
      </c>
      <c r="D537">
        <v>289546.09090000001</v>
      </c>
    </row>
    <row r="538" spans="1:4" x14ac:dyDescent="0.25">
      <c r="A538" t="str">
        <f>"00690"</f>
        <v>00690</v>
      </c>
      <c r="B538" t="str">
        <f>"SATINOL BASE P -  900 ML - ALBA"</f>
        <v>SATINOL BASE P -  900 ML - ALBA</v>
      </c>
      <c r="C538">
        <v>17002.37</v>
      </c>
      <c r="D538">
        <v>20572.867699999999</v>
      </c>
    </row>
    <row r="539" spans="1:4" x14ac:dyDescent="0.25">
      <c r="A539" t="str">
        <f>"00691"</f>
        <v>00691</v>
      </c>
      <c r="B539" t="str">
        <f>"SATINOL BASE P - 03,6 L - ALBA"</f>
        <v>SATINOL BASE P - 03,6 L - ALBA</v>
      </c>
      <c r="C539">
        <v>58630.559999999998</v>
      </c>
      <c r="D539">
        <v>70942.977599999998</v>
      </c>
    </row>
    <row r="540" spans="1:4" x14ac:dyDescent="0.25">
      <c r="A540" t="str">
        <f>"00692"</f>
        <v>00692</v>
      </c>
      <c r="B540" t="str">
        <f>"SATINOL BASE P - 17,4 L - ALBA"</f>
        <v>SATINOL BASE P - 17,4 L - ALBA</v>
      </c>
      <c r="C540">
        <v>263837.53000000003</v>
      </c>
      <c r="D540">
        <v>319243.41130000004</v>
      </c>
    </row>
    <row r="541" spans="1:4" x14ac:dyDescent="0.25">
      <c r="A541" t="str">
        <f>"00693"</f>
        <v>00693</v>
      </c>
      <c r="B541" t="str">
        <f>"SATINOL BASE T -  900 ML - ALBA"</f>
        <v>SATINOL BASE T -  900 ML - ALBA</v>
      </c>
      <c r="C541">
        <v>13839.02</v>
      </c>
      <c r="D541">
        <v>16745.214199999999</v>
      </c>
    </row>
    <row r="542" spans="1:4" x14ac:dyDescent="0.25">
      <c r="A542" t="str">
        <f>"00694"</f>
        <v>00694</v>
      </c>
      <c r="B542" t="str">
        <f>"SATINOL BASE T - 03,6 L - ALBA"</f>
        <v>SATINOL BASE T - 03,6 L - ALBA</v>
      </c>
      <c r="C542">
        <v>47722.46</v>
      </c>
      <c r="D542">
        <v>57744.176599999999</v>
      </c>
    </row>
    <row r="543" spans="1:4" x14ac:dyDescent="0.25">
      <c r="A543" t="str">
        <f>"00695"</f>
        <v>00695</v>
      </c>
      <c r="B543" t="str">
        <f>"SATINOL BLANCO -  500 ML - ALBA"</f>
        <v>SATINOL BLANCO -  500 ML - ALBA</v>
      </c>
      <c r="C543">
        <v>11590.12</v>
      </c>
      <c r="D543">
        <v>14024.0452</v>
      </c>
    </row>
    <row r="544" spans="1:4" x14ac:dyDescent="0.25">
      <c r="A544" t="str">
        <f>"00696"</f>
        <v>00696</v>
      </c>
      <c r="B544" t="str">
        <f>"SATINOL BLANCO - 01 L - ALBA"</f>
        <v>SATINOL BLANCO - 01 L - ALBA</v>
      </c>
      <c r="C544">
        <v>19770.18</v>
      </c>
      <c r="D544">
        <v>23921.917799999999</v>
      </c>
    </row>
    <row r="545" spans="1:4" x14ac:dyDescent="0.25">
      <c r="A545" t="str">
        <f>"00697"</f>
        <v>00697</v>
      </c>
      <c r="B545" t="str">
        <f>"SATINOL BLANCO - 04 L - ALBA"</f>
        <v>SATINOL BLANCO - 04 L - ALBA</v>
      </c>
      <c r="C545">
        <v>68174.649999999994</v>
      </c>
      <c r="D545">
        <v>82491.326499999996</v>
      </c>
    </row>
    <row r="546" spans="1:4" x14ac:dyDescent="0.25">
      <c r="A546" t="str">
        <f>"00698"</f>
        <v>00698</v>
      </c>
      <c r="B546" t="str">
        <f>"SATINOL BLANCO - 20 L - ALBA"</f>
        <v>SATINOL BLANCO - 20 L - ALBA</v>
      </c>
      <c r="C546">
        <v>306785.90999999997</v>
      </c>
      <c r="D546">
        <v>371210.95109999995</v>
      </c>
    </row>
    <row r="547" spans="1:4" x14ac:dyDescent="0.25">
      <c r="A547" t="str">
        <f>"00699"</f>
        <v>00699</v>
      </c>
      <c r="B547" t="str">
        <f>"SATINOL NEGRO -  500 ML - ALBA"</f>
        <v>SATINOL NEGRO -  500 ML - ALBA</v>
      </c>
      <c r="C547">
        <v>9850.94</v>
      </c>
      <c r="D547">
        <v>11919.6374</v>
      </c>
    </row>
    <row r="548" spans="1:4" x14ac:dyDescent="0.25">
      <c r="A548" t="str">
        <f>"00700"</f>
        <v>00700</v>
      </c>
      <c r="B548" t="str">
        <f>"SATINOL NEGRO - 01 L - ALBA"</f>
        <v>SATINOL NEGRO - 01 L - ALBA</v>
      </c>
      <c r="C548">
        <v>16804.599999999999</v>
      </c>
      <c r="D548">
        <v>20333.565999999999</v>
      </c>
    </row>
    <row r="549" spans="1:4" x14ac:dyDescent="0.25">
      <c r="A549" t="str">
        <f>"00701"</f>
        <v>00701</v>
      </c>
      <c r="B549" t="str">
        <f>"SATINOL NEGRO - 04 L - ALBA"</f>
        <v>SATINOL NEGRO - 04 L - ALBA</v>
      </c>
      <c r="C549">
        <v>57948.55</v>
      </c>
      <c r="D549">
        <v>70117.745500000005</v>
      </c>
    </row>
    <row r="550" spans="1:4" x14ac:dyDescent="0.25">
      <c r="A550" t="str">
        <f>"00702"</f>
        <v>00702</v>
      </c>
      <c r="B550" t="str">
        <f>"TEX CLASICO  FINO ALMENDRA 25 K - ALBA"</f>
        <v>TEX CLASICO  FINO ALMENDRA 25 K - ALBA</v>
      </c>
      <c r="C550">
        <v>100697.11</v>
      </c>
      <c r="D550">
        <v>121843.5031</v>
      </c>
    </row>
    <row r="551" spans="1:4" x14ac:dyDescent="0.25">
      <c r="A551" t="str">
        <f>"00703"</f>
        <v>00703</v>
      </c>
      <c r="B551" t="str">
        <f>"TEX CLASICO  FINO BLANCO 25 K - ALBA"</f>
        <v>TEX CLASICO  FINO BLANCO 25 K - ALBA</v>
      </c>
      <c r="C551">
        <v>100697.11</v>
      </c>
      <c r="D551">
        <v>121843.5031</v>
      </c>
    </row>
    <row r="552" spans="1:4" x14ac:dyDescent="0.25">
      <c r="A552" t="str">
        <f>"00704"</f>
        <v>00704</v>
      </c>
      <c r="B552" t="str">
        <f>"TEX CLASICO  FINO BLANCO 5 K - ALBA"</f>
        <v>TEX CLASICO  FINO BLANCO 5 K - ALBA</v>
      </c>
      <c r="C552">
        <v>25174.28</v>
      </c>
      <c r="D552">
        <v>30460.878799999999</v>
      </c>
    </row>
    <row r="553" spans="1:4" x14ac:dyDescent="0.25">
      <c r="A553" t="str">
        <f>"00705"</f>
        <v>00705</v>
      </c>
      <c r="B553" t="str">
        <f>"TEX CLASICO  FINO HABANO 25 K - ALBA"</f>
        <v>TEX CLASICO  FINO HABANO 25 K - ALBA</v>
      </c>
      <c r="C553">
        <v>100697.11</v>
      </c>
      <c r="D553">
        <v>121843.5031</v>
      </c>
    </row>
    <row r="554" spans="1:4" x14ac:dyDescent="0.25">
      <c r="A554" t="str">
        <f>"00706"</f>
        <v>00706</v>
      </c>
      <c r="B554" t="str">
        <f>"TEX CLASICO  MEDIO ALMENDRA 25 K - ALBA"</f>
        <v>TEX CLASICO  MEDIO ALMENDRA 25 K - ALBA</v>
      </c>
      <c r="C554">
        <v>100697.11</v>
      </c>
      <c r="D554">
        <v>121843.5031</v>
      </c>
    </row>
    <row r="555" spans="1:4" x14ac:dyDescent="0.25">
      <c r="A555" t="str">
        <f>"00707"</f>
        <v>00707</v>
      </c>
      <c r="B555" t="str">
        <f>"TEX CLASICO  MEDIO BLANCO 25 K - ALBA"</f>
        <v>TEX CLASICO  MEDIO BLANCO 25 K - ALBA</v>
      </c>
      <c r="C555">
        <v>100697.11</v>
      </c>
      <c r="D555">
        <v>121843.5031</v>
      </c>
    </row>
    <row r="556" spans="1:4" x14ac:dyDescent="0.25">
      <c r="A556" t="str">
        <f>"00708"</f>
        <v>00708</v>
      </c>
      <c r="B556" t="str">
        <f>"TEX CLASICO  MEDIO BLANCO 5 K - ALBA"</f>
        <v>TEX CLASICO  MEDIO BLANCO 5 K - ALBA</v>
      </c>
      <c r="C556">
        <v>25174.28</v>
      </c>
      <c r="D556">
        <v>30460.878799999999</v>
      </c>
    </row>
    <row r="557" spans="1:4" x14ac:dyDescent="0.25">
      <c r="A557" t="str">
        <f>"00709"</f>
        <v>00709</v>
      </c>
      <c r="B557" t="str">
        <f>"TEX CLASICO  MEDIO HABANO 25 K - ALBA"</f>
        <v>TEX CLASICO  MEDIO HABANO 25 K - ALBA</v>
      </c>
      <c r="C557">
        <v>100697.11</v>
      </c>
      <c r="D557">
        <v>121843.5031</v>
      </c>
    </row>
    <row r="558" spans="1:4" x14ac:dyDescent="0.25">
      <c r="A558" t="str">
        <f>"00710"</f>
        <v>00710</v>
      </c>
      <c r="B558" t="str">
        <f>"TEX CLASICO FINO BAS INT 25 K - ALBA"</f>
        <v>TEX CLASICO FINO BAS INT 25 K - ALBA</v>
      </c>
      <c r="C558">
        <v>105732.17</v>
      </c>
      <c r="D558">
        <v>127935.92569999999</v>
      </c>
    </row>
    <row r="559" spans="1:4" x14ac:dyDescent="0.25">
      <c r="A559" t="str">
        <f>"00711"</f>
        <v>00711</v>
      </c>
      <c r="B559" t="str">
        <f>"TEX CLASICO FINO BAS INT 5 K - ALBA"</f>
        <v>TEX CLASICO FINO BAS INT 5 K - ALBA</v>
      </c>
      <c r="C559">
        <v>26433.3</v>
      </c>
      <c r="D559">
        <v>31984.292999999998</v>
      </c>
    </row>
    <row r="560" spans="1:4" x14ac:dyDescent="0.25">
      <c r="A560" t="str">
        <f>"00712"</f>
        <v>00712</v>
      </c>
      <c r="B560" t="str">
        <f>"TEX CLASICO MEDIO BAS INT 25 K - ALBA"</f>
        <v>TEX CLASICO MEDIO BAS INT 25 K - ALBA</v>
      </c>
      <c r="C560">
        <v>105732.17</v>
      </c>
      <c r="D560">
        <v>127935.92569999999</v>
      </c>
    </row>
    <row r="561" spans="1:4" x14ac:dyDescent="0.25">
      <c r="A561" t="str">
        <f>"00713"</f>
        <v>00713</v>
      </c>
      <c r="B561" t="str">
        <f>"TEX CLASICO MEDIO BAS INT 5 K - ALBA"</f>
        <v>TEX CLASICO MEDIO BAS INT 5 K - ALBA</v>
      </c>
      <c r="C561">
        <v>26433.3</v>
      </c>
      <c r="D561">
        <v>31984.292999999998</v>
      </c>
    </row>
    <row r="562" spans="1:4" x14ac:dyDescent="0.25">
      <c r="A562" t="str">
        <f>"00714"</f>
        <v>00714</v>
      </c>
      <c r="B562" t="str">
        <f>"TEX PETREO NATURAL   CLEAR 30 K - ALBA"</f>
        <v>TEX PETREO NATURAL   CLEAR 30 K - ALBA</v>
      </c>
      <c r="C562">
        <v>121900.64</v>
      </c>
      <c r="D562">
        <v>147499.77439999999</v>
      </c>
    </row>
    <row r="563" spans="1:4" x14ac:dyDescent="0.25">
      <c r="A563" t="str">
        <f>"00715"</f>
        <v>00715</v>
      </c>
      <c r="B563" t="str">
        <f>"TEX PETREO NATURAL   GRAY 30 K - ALBA"</f>
        <v>TEX PETREO NATURAL   GRAY 30 K - ALBA</v>
      </c>
      <c r="C563">
        <v>121900.64</v>
      </c>
      <c r="D563">
        <v>147499.77439999999</v>
      </c>
    </row>
    <row r="564" spans="1:4" x14ac:dyDescent="0.25">
      <c r="A564" t="str">
        <f>"00716"</f>
        <v>00716</v>
      </c>
      <c r="B564" t="str">
        <f>"TEX PETREO NATURAL   PARIS 30 K - ALBA"</f>
        <v>TEX PETREO NATURAL   PARIS 30 K - ALBA</v>
      </c>
      <c r="C564">
        <v>121900.64</v>
      </c>
      <c r="D564">
        <v>147499.77439999999</v>
      </c>
    </row>
    <row r="565" spans="1:4" x14ac:dyDescent="0.25">
      <c r="A565" t="str">
        <f>"00717"</f>
        <v>00717</v>
      </c>
      <c r="B565" t="str">
        <f>"TEX PETREO NATURAL   SILICA 30 K - ALBA"</f>
        <v>TEX PETREO NATURAL   SILICA 30 K - ALBA</v>
      </c>
      <c r="C565">
        <v>121900.64</v>
      </c>
      <c r="D565">
        <v>147499.77439999999</v>
      </c>
    </row>
    <row r="566" spans="1:4" x14ac:dyDescent="0.25">
      <c r="A566" t="str">
        <f>"00718"</f>
        <v>00718</v>
      </c>
      <c r="B566" t="str">
        <f>"TEX REVOQUE PLAS BAS INT 25 K - ALBA"</f>
        <v>TEX REVOQUE PLAS BAS INT 25 K - ALBA</v>
      </c>
      <c r="C566">
        <v>178074.33</v>
      </c>
      <c r="D566">
        <v>215469.93929999997</v>
      </c>
    </row>
    <row r="567" spans="1:4" x14ac:dyDescent="0.25">
      <c r="A567" t="str">
        <f>"00719"</f>
        <v>00719</v>
      </c>
      <c r="B567" t="str">
        <f>"TEX REVOQUE PLAS BAS INT 5 K - ALBA"</f>
        <v>TEX REVOQUE PLAS BAS INT 5 K - ALBA</v>
      </c>
      <c r="C567">
        <v>44518.33</v>
      </c>
      <c r="D567">
        <v>53867.179300000003</v>
      </c>
    </row>
    <row r="568" spans="1:4" x14ac:dyDescent="0.25">
      <c r="A568" t="str">
        <f>"00720"</f>
        <v>00720</v>
      </c>
      <c r="B568" t="str">
        <f>"TEX REVOQUE PLAS FINO ALMENDRA 25 K - ALBA"</f>
        <v>TEX REVOQUE PLAS FINO ALMENDRA 25 K - ALBA</v>
      </c>
      <c r="C568">
        <v>169594.55</v>
      </c>
      <c r="D568">
        <v>205209.40549999999</v>
      </c>
    </row>
    <row r="569" spans="1:4" x14ac:dyDescent="0.25">
      <c r="A569" t="str">
        <f>"00721"</f>
        <v>00721</v>
      </c>
      <c r="B569" t="str">
        <f>"TEX REVOQUE PLAS FINO BLANCO 25 K - ALBA"</f>
        <v>TEX REVOQUE PLAS FINO BLANCO 25 K - ALBA</v>
      </c>
      <c r="C569">
        <v>169594.55</v>
      </c>
      <c r="D569">
        <v>205209.40549999999</v>
      </c>
    </row>
    <row r="570" spans="1:4" x14ac:dyDescent="0.25">
      <c r="A570" t="str">
        <f>"00722"</f>
        <v>00722</v>
      </c>
      <c r="B570" t="str">
        <f>"TEX REVOQUE PLAS FINO BLANCO 5 K - ALBA"</f>
        <v>TEX REVOQUE PLAS FINO BLANCO 5 K - ALBA</v>
      </c>
      <c r="C570">
        <v>42398.89</v>
      </c>
      <c r="D570">
        <v>51302.656899999994</v>
      </c>
    </row>
    <row r="571" spans="1:4" x14ac:dyDescent="0.25">
      <c r="A571" t="str">
        <f>"00723"</f>
        <v>00723</v>
      </c>
      <c r="B571" t="str">
        <f>"TEX REVOQUE PLAS FINO HABANO 25 K - ALBA"</f>
        <v>TEX REVOQUE PLAS FINO HABANO 25 K - ALBA</v>
      </c>
      <c r="C571">
        <v>169594.55</v>
      </c>
      <c r="D571">
        <v>205209.40549999999</v>
      </c>
    </row>
    <row r="572" spans="1:4" x14ac:dyDescent="0.25">
      <c r="A572" t="str">
        <f>"00724"</f>
        <v>00724</v>
      </c>
      <c r="B572" t="str">
        <f>"TEX REVOQUE PLAS FINO MARFIL BAMBU 25 K - ALBA"</f>
        <v>TEX REVOQUE PLAS FINO MARFIL BAMBU 25 K - ALBA</v>
      </c>
      <c r="C572">
        <v>169594.55</v>
      </c>
      <c r="D572">
        <v>205209.40549999999</v>
      </c>
    </row>
    <row r="573" spans="1:4" x14ac:dyDescent="0.25">
      <c r="A573" t="str">
        <f>"00725"</f>
        <v>00725</v>
      </c>
      <c r="B573" t="str">
        <f>"TEX TRAVERTINO  FINO ALMENDRA 30 K - ALBA"</f>
        <v>TEX TRAVERTINO  FINO ALMENDRA 30 K - ALBA</v>
      </c>
      <c r="C573">
        <v>104996.13</v>
      </c>
      <c r="D573">
        <v>127045.3173</v>
      </c>
    </row>
    <row r="574" spans="1:4" x14ac:dyDescent="0.25">
      <c r="A574" t="str">
        <f>"00726"</f>
        <v>00726</v>
      </c>
      <c r="B574" t="str">
        <f>"TEX TRAVERTINO  FINO BAS INT 30 K - ALBA"</f>
        <v>TEX TRAVERTINO  FINO BAS INT 30 K - ALBA</v>
      </c>
      <c r="C574">
        <v>110246.29</v>
      </c>
      <c r="D574">
        <v>133398.01089999999</v>
      </c>
    </row>
    <row r="575" spans="1:4" x14ac:dyDescent="0.25">
      <c r="A575" t="str">
        <f>"00727"</f>
        <v>00727</v>
      </c>
      <c r="B575" t="str">
        <f>"TEX TRAVERTINO  FINO BLANCO 30 K - ALBA"</f>
        <v>TEX TRAVERTINO  FINO BLANCO 30 K - ALBA</v>
      </c>
      <c r="C575">
        <v>104996.13</v>
      </c>
      <c r="D575">
        <v>127045.3173</v>
      </c>
    </row>
    <row r="576" spans="1:4" x14ac:dyDescent="0.25">
      <c r="A576" t="str">
        <f>"00728"</f>
        <v>00728</v>
      </c>
      <c r="B576" t="str">
        <f>"TEX TRAVERTINO  FINO BLANCO 6 K - ALBA"</f>
        <v>TEX TRAVERTINO  FINO BLANCO 6 K - ALBA</v>
      </c>
      <c r="C576">
        <v>26248.78</v>
      </c>
      <c r="D576">
        <v>31761.023799999999</v>
      </c>
    </row>
    <row r="577" spans="1:4" x14ac:dyDescent="0.25">
      <c r="A577" t="str">
        <f>"00729"</f>
        <v>00729</v>
      </c>
      <c r="B577" t="str">
        <f>"TEX TRAVERTINO  FINO HABANO 30 K - ALBA"</f>
        <v>TEX TRAVERTINO  FINO HABANO 30 K - ALBA</v>
      </c>
      <c r="C577">
        <v>104996.13</v>
      </c>
      <c r="D577">
        <v>127045.3173</v>
      </c>
    </row>
    <row r="578" spans="1:4" x14ac:dyDescent="0.25">
      <c r="A578" t="str">
        <f>"00731"</f>
        <v>00731</v>
      </c>
      <c r="B578" t="str">
        <f>"TEX TRAVERTINO  MEDIO ALMENDRA 30 K - ALBA"</f>
        <v>TEX TRAVERTINO  MEDIO ALMENDRA 30 K - ALBA</v>
      </c>
      <c r="C578">
        <v>104996.13</v>
      </c>
      <c r="D578">
        <v>127045.3173</v>
      </c>
    </row>
    <row r="579" spans="1:4" x14ac:dyDescent="0.25">
      <c r="A579" t="str">
        <f>"00732"</f>
        <v>00732</v>
      </c>
      <c r="B579" t="str">
        <f>"TEX TRAVERTINO  MEDIO BAS INT 30 K - ALBA"</f>
        <v>TEX TRAVERTINO  MEDIO BAS INT 30 K - ALBA</v>
      </c>
      <c r="C579">
        <v>110246.29</v>
      </c>
      <c r="D579">
        <v>133398.01089999999</v>
      </c>
    </row>
    <row r="580" spans="1:4" x14ac:dyDescent="0.25">
      <c r="A580" t="str">
        <f>"00733"</f>
        <v>00733</v>
      </c>
      <c r="B580" t="str">
        <f>"TEX TRAVERTINO  MEDIO BLANCO 30 K - ALBA"</f>
        <v>TEX TRAVERTINO  MEDIO BLANCO 30 K - ALBA</v>
      </c>
      <c r="C580">
        <v>104996.13</v>
      </c>
      <c r="D580">
        <v>127045.3173</v>
      </c>
    </row>
    <row r="581" spans="1:4" x14ac:dyDescent="0.25">
      <c r="A581" t="str">
        <f>"00734"</f>
        <v>00734</v>
      </c>
      <c r="B581" t="str">
        <f>"TEX TRAVERTINO  MEDIO BLANCO 6 K - ALBA"</f>
        <v>TEX TRAVERTINO  MEDIO BLANCO 6 K - ALBA</v>
      </c>
      <c r="C581">
        <v>26248.78</v>
      </c>
      <c r="D581">
        <v>31761.023799999999</v>
      </c>
    </row>
    <row r="582" spans="1:4" x14ac:dyDescent="0.25">
      <c r="A582" t="str">
        <f>"00735"</f>
        <v>00735</v>
      </c>
      <c r="B582" t="str">
        <f>"TEX TRAVERTINO  MEDIO HABANO 30 K - ALBA"</f>
        <v>TEX TRAVERTINO  MEDIO HABANO 30 K - ALBA</v>
      </c>
      <c r="C582">
        <v>104996.13</v>
      </c>
      <c r="D582">
        <v>127045.3173</v>
      </c>
    </row>
    <row r="583" spans="1:4" x14ac:dyDescent="0.25">
      <c r="A583" t="str">
        <f>"00737"</f>
        <v>00737</v>
      </c>
      <c r="B583" t="str">
        <f>"TEX TRAVERTINO FINO BAS INT 6 K - ALBA"</f>
        <v>TEX TRAVERTINO FINO BAS INT 6 K - ALBA</v>
      </c>
      <c r="C583">
        <v>27561.83</v>
      </c>
      <c r="D583">
        <v>33349.814299999998</v>
      </c>
    </row>
    <row r="584" spans="1:4" x14ac:dyDescent="0.25">
      <c r="A584" t="str">
        <f>"00738"</f>
        <v>00738</v>
      </c>
      <c r="B584" t="str">
        <f>"TEX TRAVERTINO MEDIO BAS INT 6 K - ALBA"</f>
        <v>TEX TRAVERTINO MEDIO BAS INT 6 K - ALBA</v>
      </c>
      <c r="C584">
        <v>27561.83</v>
      </c>
      <c r="D584">
        <v>33349.814299999998</v>
      </c>
    </row>
    <row r="585" spans="1:4" x14ac:dyDescent="0.25">
      <c r="A585" t="str">
        <f>"00739"</f>
        <v>00739</v>
      </c>
      <c r="B585" t="str">
        <f>"TONALBA 001 AMARILLO - 06 X 120 ML - ALBA"</f>
        <v>TONALBA 001 AMARILLO - 06 X 120 ML - ALBA</v>
      </c>
      <c r="C585">
        <v>4591.6000000000004</v>
      </c>
      <c r="D585">
        <v>5555.8360000000002</v>
      </c>
    </row>
    <row r="586" spans="1:4" x14ac:dyDescent="0.25">
      <c r="A586" t="str">
        <f>"00740"</f>
        <v>00740</v>
      </c>
      <c r="B586" t="str">
        <f>"TONALBA 001 AMARILLO - 24 X 30 ML - ALBA"</f>
        <v>TONALBA 001 AMARILLO - 24 X 30 ML - ALBA</v>
      </c>
      <c r="C586">
        <v>1550.41</v>
      </c>
      <c r="D586">
        <v>1875.9961000000001</v>
      </c>
    </row>
    <row r="587" spans="1:4" x14ac:dyDescent="0.25">
      <c r="A587" t="str">
        <f>"00741"</f>
        <v>00741</v>
      </c>
      <c r="B587" t="str">
        <f>"TONALBA 002 BERMELLON - 06 X 120 ML - ALBA"</f>
        <v>TONALBA 002 BERMELLON - 06 X 120 ML - ALBA</v>
      </c>
      <c r="C587">
        <v>4591.6000000000004</v>
      </c>
      <c r="D587">
        <v>5555.8360000000002</v>
      </c>
    </row>
    <row r="588" spans="1:4" x14ac:dyDescent="0.25">
      <c r="A588" t="str">
        <f>"00742"</f>
        <v>00742</v>
      </c>
      <c r="B588" t="str">
        <f>"TONALBA 002 BERMELLON - 24 X 30 ML - ALBA"</f>
        <v>TONALBA 002 BERMELLON - 24 X 30 ML - ALBA</v>
      </c>
      <c r="C588">
        <v>1550.41</v>
      </c>
      <c r="D588">
        <v>1875.9961000000001</v>
      </c>
    </row>
    <row r="589" spans="1:4" x14ac:dyDescent="0.25">
      <c r="A589" t="str">
        <f>"00743"</f>
        <v>00743</v>
      </c>
      <c r="B589" t="str">
        <f>"TONALBA 003 OCRE - 06 X 120 ML - ALBA"</f>
        <v>TONALBA 003 OCRE - 06 X 120 ML - ALBA</v>
      </c>
      <c r="C589">
        <v>4591.6000000000004</v>
      </c>
      <c r="D589">
        <v>5555.8360000000002</v>
      </c>
    </row>
    <row r="590" spans="1:4" x14ac:dyDescent="0.25">
      <c r="A590" t="str">
        <f>"00744"</f>
        <v>00744</v>
      </c>
      <c r="B590" t="str">
        <f>"TONALBA 003 OCRE - 24 X 30 ML - ALBA"</f>
        <v>TONALBA 003 OCRE - 24 X 30 ML - ALBA</v>
      </c>
      <c r="C590">
        <v>1550.41</v>
      </c>
      <c r="D590">
        <v>1875.9961000000001</v>
      </c>
    </row>
    <row r="591" spans="1:4" x14ac:dyDescent="0.25">
      <c r="A591" t="str">
        <f>"00745"</f>
        <v>00745</v>
      </c>
      <c r="B591" t="str">
        <f>"TONALBA 004 VERDE CLARO - 06 X 120 ML - ALBA"</f>
        <v>TONALBA 004 VERDE CLARO - 06 X 120 ML - ALBA</v>
      </c>
      <c r="C591">
        <v>4591.6000000000004</v>
      </c>
      <c r="D591">
        <v>5555.8360000000002</v>
      </c>
    </row>
    <row r="592" spans="1:4" x14ac:dyDescent="0.25">
      <c r="A592" t="str">
        <f>"00746"</f>
        <v>00746</v>
      </c>
      <c r="B592" t="str">
        <f>"TONALBA 004 VERDE CLARO - 24 X 30 ML - ALBA"</f>
        <v>TONALBA 004 VERDE CLARO - 24 X 30 ML - ALBA</v>
      </c>
      <c r="C592">
        <v>1550.41</v>
      </c>
      <c r="D592">
        <v>1875.9961000000001</v>
      </c>
    </row>
    <row r="593" spans="1:4" x14ac:dyDescent="0.25">
      <c r="A593" t="str">
        <f>"00747"</f>
        <v>00747</v>
      </c>
      <c r="B593" t="str">
        <f>"TONALBA 005 VERDE OSCURO - 06 X 120 ML - ALBA"</f>
        <v>TONALBA 005 VERDE OSCURO - 06 X 120 ML - ALBA</v>
      </c>
      <c r="C593">
        <v>4591.6000000000004</v>
      </c>
      <c r="D593">
        <v>5555.8360000000002</v>
      </c>
    </row>
    <row r="594" spans="1:4" x14ac:dyDescent="0.25">
      <c r="A594" t="str">
        <f>"00748"</f>
        <v>00748</v>
      </c>
      <c r="B594" t="str">
        <f>"TONALBA 005 VERDE OSCURO - 24 X 30 ML - ALBA"</f>
        <v>TONALBA 005 VERDE OSCURO - 24 X 30 ML - ALBA</v>
      </c>
      <c r="C594">
        <v>1550.41</v>
      </c>
      <c r="D594">
        <v>1875.9961000000001</v>
      </c>
    </row>
    <row r="595" spans="1:4" x14ac:dyDescent="0.25">
      <c r="A595" t="str">
        <f>"00749"</f>
        <v>00749</v>
      </c>
      <c r="B595" t="str">
        <f>"TONALBA 006 AZUL - 06 X 120 ML - ALBA"</f>
        <v>TONALBA 006 AZUL - 06 X 120 ML - ALBA</v>
      </c>
      <c r="C595">
        <v>4591.6000000000004</v>
      </c>
      <c r="D595">
        <v>5555.8360000000002</v>
      </c>
    </row>
    <row r="596" spans="1:4" x14ac:dyDescent="0.25">
      <c r="A596" t="str">
        <f>"00750"</f>
        <v>00750</v>
      </c>
      <c r="B596" t="str">
        <f>"TONALBA 006 AZUL - 24 X 30 ML - ALBA"</f>
        <v>TONALBA 006 AZUL - 24 X 30 ML - ALBA</v>
      </c>
      <c r="C596">
        <v>1550.41</v>
      </c>
      <c r="D596">
        <v>1875.9961000000001</v>
      </c>
    </row>
    <row r="597" spans="1:4" x14ac:dyDescent="0.25">
      <c r="A597" t="str">
        <f>"00751"</f>
        <v>00751</v>
      </c>
      <c r="B597" t="str">
        <f>"TONALBA 007 CEDRO - 06 X 120 ML - ALBA"</f>
        <v>TONALBA 007 CEDRO - 06 X 120 ML - ALBA</v>
      </c>
      <c r="C597">
        <v>4591.6000000000004</v>
      </c>
      <c r="D597">
        <v>5555.8360000000002</v>
      </c>
    </row>
    <row r="598" spans="1:4" x14ac:dyDescent="0.25">
      <c r="A598" t="str">
        <f>"00752"</f>
        <v>00752</v>
      </c>
      <c r="B598" t="str">
        <f>"TONALBA 007 CEDRO - 24 X 30 ML - ALBA"</f>
        <v>TONALBA 007 CEDRO - 24 X 30 ML - ALBA</v>
      </c>
      <c r="C598">
        <v>1550.41</v>
      </c>
      <c r="D598">
        <v>1875.9961000000001</v>
      </c>
    </row>
    <row r="599" spans="1:4" x14ac:dyDescent="0.25">
      <c r="A599" t="str">
        <f>"00753"</f>
        <v>00753</v>
      </c>
      <c r="B599" t="str">
        <f>"TONALBA 008 SIENA - 06 X 120 ML - ALBA"</f>
        <v>TONALBA 008 SIENA - 06 X 120 ML - ALBA</v>
      </c>
      <c r="C599">
        <v>4591.6000000000004</v>
      </c>
      <c r="D599">
        <v>5555.8360000000002</v>
      </c>
    </row>
    <row r="600" spans="1:4" x14ac:dyDescent="0.25">
      <c r="A600" t="str">
        <f>"00754"</f>
        <v>00754</v>
      </c>
      <c r="B600" t="str">
        <f>"TONALBA 008 SIENA - 24 X 30 ML - ALBA"</f>
        <v>TONALBA 008 SIENA - 24 X 30 ML - ALBA</v>
      </c>
      <c r="C600">
        <v>1550.41</v>
      </c>
      <c r="D600">
        <v>1875.9961000000001</v>
      </c>
    </row>
    <row r="601" spans="1:4" x14ac:dyDescent="0.25">
      <c r="A601" t="str">
        <f>"00755"</f>
        <v>00755</v>
      </c>
      <c r="B601" t="str">
        <f>"TONALBA 009 NEGRO - 06 X 120 ML - ALBA"</f>
        <v>TONALBA 009 NEGRO - 06 X 120 ML - ALBA</v>
      </c>
      <c r="C601">
        <v>4591.6000000000004</v>
      </c>
      <c r="D601">
        <v>5555.8360000000002</v>
      </c>
    </row>
    <row r="602" spans="1:4" x14ac:dyDescent="0.25">
      <c r="A602" t="str">
        <f>"00756"</f>
        <v>00756</v>
      </c>
      <c r="B602" t="str">
        <f>"TONALBA 009 NEGRO - 24 X 30 ML - ALBA"</f>
        <v>TONALBA 009 NEGRO - 24 X 30 ML - ALBA</v>
      </c>
      <c r="C602">
        <v>1550.41</v>
      </c>
      <c r="D602">
        <v>1875.9961000000001</v>
      </c>
    </row>
    <row r="603" spans="1:4" x14ac:dyDescent="0.25">
      <c r="A603" t="str">
        <f>"00757"</f>
        <v>00757</v>
      </c>
      <c r="B603" t="str">
        <f>"TONALBA 010 NARANJA - 06 X 120 ML - ALBA"</f>
        <v>TONALBA 010 NARANJA - 06 X 120 ML - ALBA</v>
      </c>
      <c r="C603">
        <v>4591.6000000000004</v>
      </c>
      <c r="D603">
        <v>5555.8360000000002</v>
      </c>
    </row>
    <row r="604" spans="1:4" x14ac:dyDescent="0.25">
      <c r="A604" t="str">
        <f>"00758"</f>
        <v>00758</v>
      </c>
      <c r="B604" t="str">
        <f>"TONALBA 010 NARANJA - 24 X 30 ML - ALBA"</f>
        <v>TONALBA 010 NARANJA - 24 X 30 ML - ALBA</v>
      </c>
      <c r="C604">
        <v>1550.41</v>
      </c>
      <c r="D604">
        <v>1875.9961000000001</v>
      </c>
    </row>
    <row r="605" spans="1:4" x14ac:dyDescent="0.25">
      <c r="A605" t="str">
        <f>"00759"</f>
        <v>00759</v>
      </c>
      <c r="B605" t="str">
        <f>"TONALBA 011 VIOLETA - 06 X 120 ML - ALBA"</f>
        <v>TONALBA 011 VIOLETA - 06 X 120 ML - ALBA</v>
      </c>
      <c r="C605">
        <v>4591.6000000000004</v>
      </c>
      <c r="D605">
        <v>5555.8360000000002</v>
      </c>
    </row>
    <row r="606" spans="1:4" x14ac:dyDescent="0.25">
      <c r="A606" t="str">
        <f>"00760"</f>
        <v>00760</v>
      </c>
      <c r="B606" t="str">
        <f>"TONALBA 011 VIOLETA - 24 X 30 ML - ALBA"</f>
        <v>TONALBA 011 VIOLETA - 24 X 30 ML - ALBA</v>
      </c>
      <c r="C606">
        <v>1550.41</v>
      </c>
      <c r="D606">
        <v>1875.9961000000001</v>
      </c>
    </row>
    <row r="607" spans="1:4" x14ac:dyDescent="0.25">
      <c r="A607" t="str">
        <f>"00761"</f>
        <v>00761</v>
      </c>
      <c r="B607" t="str">
        <f>"TONALBA 012 MARRON - 06 X 120 ML - ALBA"</f>
        <v>TONALBA 012 MARRON - 06 X 120 ML - ALBA</v>
      </c>
      <c r="C607">
        <v>4591.6000000000004</v>
      </c>
      <c r="D607">
        <v>5555.8360000000002</v>
      </c>
    </row>
    <row r="608" spans="1:4" x14ac:dyDescent="0.25">
      <c r="A608" t="str">
        <f>"00762"</f>
        <v>00762</v>
      </c>
      <c r="B608" t="str">
        <f>"TONALBA 012 MARRON - 24 X 30 ML - ALBA"</f>
        <v>TONALBA 012 MARRON - 24 X 30 ML - ALBA</v>
      </c>
      <c r="C608">
        <v>1550.41</v>
      </c>
      <c r="D608">
        <v>1875.9961000000001</v>
      </c>
    </row>
    <row r="609" spans="1:4" x14ac:dyDescent="0.25">
      <c r="A609" t="str">
        <f>"00763"</f>
        <v>00763</v>
      </c>
      <c r="B609" t="str">
        <f>"BRIKOL LADRILLOS CERAMICO X  1 LT - CETOL"</f>
        <v>BRIKOL LADRILLOS CERAMICO X  1 LT - CETOL</v>
      </c>
      <c r="C609">
        <v>21806.02</v>
      </c>
      <c r="D609">
        <v>26385.284199999998</v>
      </c>
    </row>
    <row r="610" spans="1:4" x14ac:dyDescent="0.25">
      <c r="A610" t="str">
        <f>"00764"</f>
        <v>00764</v>
      </c>
      <c r="B610" t="str">
        <f>"BRIKOL LADRILLOS CERAMICO X  4 LTS. - CETOL"</f>
        <v>BRIKOL LADRILLOS CERAMICO X  4 LTS. - CETOL</v>
      </c>
      <c r="C610">
        <v>70871.09</v>
      </c>
      <c r="D610">
        <v>85754.018899999995</v>
      </c>
    </row>
    <row r="611" spans="1:4" x14ac:dyDescent="0.25">
      <c r="A611" t="str">
        <f>"00765"</f>
        <v>00765</v>
      </c>
      <c r="B611" t="str">
        <f>"BRIKOL LADRILLOS CERAMICO X 10 LTS - CETOL"</f>
        <v>BRIKOL LADRILLOS CERAMICO X 10 LTS - CETOL</v>
      </c>
      <c r="C611">
        <v>152645.19</v>
      </c>
      <c r="D611">
        <v>184700.67989999999</v>
      </c>
    </row>
    <row r="612" spans="1:4" x14ac:dyDescent="0.25">
      <c r="A612" t="str">
        <f>"00766"</f>
        <v>00766</v>
      </c>
      <c r="B612" t="str">
        <f>"BRIKOL LADRILLOS CERAMICO X 20 LTS. - CETOL"</f>
        <v>BRIKOL LADRILLOS CERAMICO X 20 LTS. - CETOL</v>
      </c>
      <c r="C612">
        <v>272580.33</v>
      </c>
      <c r="D612">
        <v>329822.19930000004</v>
      </c>
    </row>
    <row r="613" spans="1:4" x14ac:dyDescent="0.25">
      <c r="A613" t="str">
        <f>"00767"</f>
        <v>00767</v>
      </c>
      <c r="B613" t="str">
        <f>"BRIKOL LADRILLOS INCOLORO X  1 LT. - CETOL"</f>
        <v>BRIKOL LADRILLOS INCOLORO X  1 LT. - CETOL</v>
      </c>
      <c r="C613">
        <v>21806.02</v>
      </c>
      <c r="D613">
        <v>26385.284199999998</v>
      </c>
    </row>
    <row r="614" spans="1:4" x14ac:dyDescent="0.25">
      <c r="A614" t="str">
        <f>"00768"</f>
        <v>00768</v>
      </c>
      <c r="B614" t="str">
        <f>"BRIKOL LADRILLOS INCOLORO X  4 LTS. - CETOL"</f>
        <v>BRIKOL LADRILLOS INCOLORO X  4 LTS. - CETOL</v>
      </c>
      <c r="C614">
        <v>70871.09</v>
      </c>
      <c r="D614">
        <v>85754.018899999995</v>
      </c>
    </row>
    <row r="615" spans="1:4" x14ac:dyDescent="0.25">
      <c r="A615" t="str">
        <f>"00769"</f>
        <v>00769</v>
      </c>
      <c r="B615" t="str">
        <f>"BRIKOL LADRILLOS INCOLORO X 10 LTS. - CETOL"</f>
        <v>BRIKOL LADRILLOS INCOLORO X 10 LTS. - CETOL</v>
      </c>
      <c r="C615">
        <v>152645.19</v>
      </c>
      <c r="D615">
        <v>184700.67989999999</v>
      </c>
    </row>
    <row r="616" spans="1:4" x14ac:dyDescent="0.25">
      <c r="A616" t="str">
        <f>"00770"</f>
        <v>00770</v>
      </c>
      <c r="B616" t="str">
        <f>"BRIKOL LADRILLOS INCOLORO X 20 LTS. - CETOL"</f>
        <v>BRIKOL LADRILLOS INCOLORO X 20 LTS. - CETOL</v>
      </c>
      <c r="C616">
        <v>272580.33</v>
      </c>
      <c r="D616">
        <v>329822.19930000004</v>
      </c>
    </row>
    <row r="617" spans="1:4" x14ac:dyDescent="0.25">
      <c r="A617" t="str">
        <f>"00771"</f>
        <v>00771</v>
      </c>
      <c r="B617" t="str">
        <f>"BRIKOL LADRILLOS NATURAL X  1 LT. - CETOL"</f>
        <v>BRIKOL LADRILLOS NATURAL X  1 LT. - CETOL</v>
      </c>
      <c r="C617">
        <v>21806.02</v>
      </c>
      <c r="D617">
        <v>26385.284199999998</v>
      </c>
    </row>
    <row r="618" spans="1:4" x14ac:dyDescent="0.25">
      <c r="A618" t="str">
        <f>"00772"</f>
        <v>00772</v>
      </c>
      <c r="B618" t="str">
        <f>"BRIKOL LADRILLOS NATURAL X  4 LTS. - CETOL"</f>
        <v>BRIKOL LADRILLOS NATURAL X  4 LTS. - CETOL</v>
      </c>
      <c r="C618">
        <v>70871.09</v>
      </c>
      <c r="D618">
        <v>85754.018899999995</v>
      </c>
    </row>
    <row r="619" spans="1:4" x14ac:dyDescent="0.25">
      <c r="A619" t="str">
        <f>"00773"</f>
        <v>00773</v>
      </c>
      <c r="B619" t="str">
        <f>"BRIKOL LADRILLOS NATURAL X 10 LTS. - CETOL"</f>
        <v>BRIKOL LADRILLOS NATURAL X 10 LTS. - CETOL</v>
      </c>
      <c r="C619">
        <v>152645.19</v>
      </c>
      <c r="D619">
        <v>184700.67989999999</v>
      </c>
    </row>
    <row r="620" spans="1:4" x14ac:dyDescent="0.25">
      <c r="A620" t="str">
        <f>"00774"</f>
        <v>00774</v>
      </c>
      <c r="B620" t="str">
        <f>"BRIKOL LADRILLOS NATURAL X 20 LTS. - CETOL"</f>
        <v>BRIKOL LADRILLOS NATURAL X 20 LTS. - CETOL</v>
      </c>
      <c r="C620">
        <v>272580.33</v>
      </c>
      <c r="D620">
        <v>329822.19930000004</v>
      </c>
    </row>
    <row r="621" spans="1:4" x14ac:dyDescent="0.25">
      <c r="A621" t="str">
        <f>"00775"</f>
        <v>00775</v>
      </c>
      <c r="B621" t="str">
        <f>"BRIKOL PISOS ALTO TRANSITO AMARILLO DEMARC X 1 L - CETOL"</f>
        <v>BRIKOL PISOS ALTO TRANSITO AMARILLO DEMARC X 1 L - CETOL</v>
      </c>
      <c r="C621">
        <v>21448.19</v>
      </c>
      <c r="D621">
        <v>25952.309899999997</v>
      </c>
    </row>
    <row r="622" spans="1:4" x14ac:dyDescent="0.25">
      <c r="A622" t="str">
        <f>"00776"</f>
        <v>00776</v>
      </c>
      <c r="B622" t="str">
        <f>"BRIKOL PISOS ALTO TRANSITO AMARILLO DEMARC X 4 L - CETOL"</f>
        <v>BRIKOL PISOS ALTO TRANSITO AMARILLO DEMARC X 4 L - CETOL</v>
      </c>
      <c r="C622">
        <v>76601.41</v>
      </c>
      <c r="D622">
        <v>92687.706099999996</v>
      </c>
    </row>
    <row r="623" spans="1:4" x14ac:dyDescent="0.25">
      <c r="A623" t="str">
        <f>"00777"</f>
        <v>00777</v>
      </c>
      <c r="B623" t="str">
        <f>"BRIKOL PISOS ALTO TRANSITO BLANCO  X 1 L - CETOL"</f>
        <v>BRIKOL PISOS ALTO TRANSITO BLANCO  X 1 L - CETOL</v>
      </c>
      <c r="C623">
        <v>21448.19</v>
      </c>
      <c r="D623">
        <v>25952.309899999997</v>
      </c>
    </row>
    <row r="624" spans="1:4" x14ac:dyDescent="0.25">
      <c r="A624" t="str">
        <f>"00778"</f>
        <v>00778</v>
      </c>
      <c r="B624" t="str">
        <f>"BRIKOL PISOS ALTO TRANSITO BLANCO X 4 L - CETOL"</f>
        <v>BRIKOL PISOS ALTO TRANSITO BLANCO X 4 L - CETOL</v>
      </c>
      <c r="C624">
        <v>76601.41</v>
      </c>
      <c r="D624">
        <v>92687.706099999996</v>
      </c>
    </row>
    <row r="625" spans="1:4" x14ac:dyDescent="0.25">
      <c r="A625" t="str">
        <f>"00779"</f>
        <v>00779</v>
      </c>
      <c r="B625" t="str">
        <f>"BRIKOL PISOS ALTO TRANSITO GRIS X  1 LT - CETOL"</f>
        <v>BRIKOL PISOS ALTO TRANSITO GRIS X  1 LT - CETOL</v>
      </c>
      <c r="C625">
        <v>21448.19</v>
      </c>
      <c r="D625">
        <v>25952.309899999997</v>
      </c>
    </row>
    <row r="626" spans="1:4" x14ac:dyDescent="0.25">
      <c r="A626" t="str">
        <f>"00780"</f>
        <v>00780</v>
      </c>
      <c r="B626" t="str">
        <f>"BRIKOL PISOS ALTO TRANSITO GRIS X  4 L - CETOL"</f>
        <v>BRIKOL PISOS ALTO TRANSITO GRIS X  4 L - CETOL</v>
      </c>
      <c r="C626">
        <v>76601.41</v>
      </c>
      <c r="D626">
        <v>92687.706099999996</v>
      </c>
    </row>
    <row r="627" spans="1:4" x14ac:dyDescent="0.25">
      <c r="A627" t="str">
        <f>"00781"</f>
        <v>00781</v>
      </c>
      <c r="B627" t="str">
        <f>"BRIKOL PISOS ALTO TRANSITO GRIS X 10 L - CETOL"</f>
        <v>BRIKOL PISOS ALTO TRANSITO GRIS X 10 L - CETOL</v>
      </c>
      <c r="C627">
        <v>187673.46</v>
      </c>
      <c r="D627">
        <v>227084.8866</v>
      </c>
    </row>
    <row r="628" spans="1:4" x14ac:dyDescent="0.25">
      <c r="A628" t="str">
        <f>"00782"</f>
        <v>00782</v>
      </c>
      <c r="B628" t="str">
        <f>"BRIKOL PISOS ALTO TRANSITO NEGRO X  1 L - CETOL"</f>
        <v>BRIKOL PISOS ALTO TRANSITO NEGRO X  1 L - CETOL</v>
      </c>
      <c r="C628">
        <v>21448.19</v>
      </c>
      <c r="D628">
        <v>25952.309899999997</v>
      </c>
    </row>
    <row r="629" spans="1:4" x14ac:dyDescent="0.25">
      <c r="A629" t="str">
        <f>"00783"</f>
        <v>00783</v>
      </c>
      <c r="B629" t="str">
        <f>"BRIKOL PISOS ALTO TRANSITO NEGRO X  4 L - CETOL"</f>
        <v>BRIKOL PISOS ALTO TRANSITO NEGRO X  4 L - CETOL</v>
      </c>
      <c r="C629">
        <v>76601.41</v>
      </c>
      <c r="D629">
        <v>92687.706099999996</v>
      </c>
    </row>
    <row r="630" spans="1:4" x14ac:dyDescent="0.25">
      <c r="A630" t="str">
        <f>"00784"</f>
        <v>00784</v>
      </c>
      <c r="B630" t="str">
        <f>"BRIKOL PISOS ALTO TRANSITO NEGRO X 10 L - CETOL"</f>
        <v>BRIKOL PISOS ALTO TRANSITO NEGRO X 10 L - CETOL</v>
      </c>
      <c r="C630">
        <v>187673.46</v>
      </c>
      <c r="D630">
        <v>227084.8866</v>
      </c>
    </row>
    <row r="631" spans="1:4" x14ac:dyDescent="0.25">
      <c r="A631" t="str">
        <f>"00785"</f>
        <v>00785</v>
      </c>
      <c r="B631" t="str">
        <f>"BRIKOL PISOS ALTO TRANSITO ROJO X  1L - CETOL"</f>
        <v>BRIKOL PISOS ALTO TRANSITO ROJO X  1L - CETOL</v>
      </c>
      <c r="C631">
        <v>21448.19</v>
      </c>
      <c r="D631">
        <v>25952.309899999997</v>
      </c>
    </row>
    <row r="632" spans="1:4" x14ac:dyDescent="0.25">
      <c r="A632" t="str">
        <f>"00786"</f>
        <v>00786</v>
      </c>
      <c r="B632" t="str">
        <f>"BRIKOL PISOS ALTO TRANSITO ROJO X  4 L - CETOL"</f>
        <v>BRIKOL PISOS ALTO TRANSITO ROJO X  4 L - CETOL</v>
      </c>
      <c r="C632">
        <v>76601.41</v>
      </c>
      <c r="D632">
        <v>92687.706099999996</v>
      </c>
    </row>
    <row r="633" spans="1:4" x14ac:dyDescent="0.25">
      <c r="A633" t="str">
        <f>"00787"</f>
        <v>00787</v>
      </c>
      <c r="B633" t="str">
        <f>"BRIKOL PISOS ALTO TRANSITO ROJO X 10 L - CETOL"</f>
        <v>BRIKOL PISOS ALTO TRANSITO ROJO X 10 L - CETOL</v>
      </c>
      <c r="C633">
        <v>187673.46</v>
      </c>
      <c r="D633">
        <v>227084.8866</v>
      </c>
    </row>
    <row r="634" spans="1:4" x14ac:dyDescent="0.25">
      <c r="A634" t="str">
        <f>"00788"</f>
        <v>00788</v>
      </c>
      <c r="B634" t="str">
        <f>"BRIKOL PISOS ALTO TRANSITO VERDE X  1 L - CETOL"</f>
        <v>BRIKOL PISOS ALTO TRANSITO VERDE X  1 L - CETOL</v>
      </c>
      <c r="C634">
        <v>21448.19</v>
      </c>
      <c r="D634">
        <v>25952.309899999997</v>
      </c>
    </row>
    <row r="635" spans="1:4" x14ac:dyDescent="0.25">
      <c r="A635" t="str">
        <f>"00789"</f>
        <v>00789</v>
      </c>
      <c r="B635" t="str">
        <f>"BRIKOL PISOS ALTO TRANSITO VERDE X  4 L - CETOL"</f>
        <v>BRIKOL PISOS ALTO TRANSITO VERDE X  4 L - CETOL</v>
      </c>
      <c r="C635">
        <v>76601.41</v>
      </c>
      <c r="D635">
        <v>92687.706099999996</v>
      </c>
    </row>
    <row r="636" spans="1:4" x14ac:dyDescent="0.25">
      <c r="A636" t="str">
        <f>"00790"</f>
        <v>00790</v>
      </c>
      <c r="B636" t="str">
        <f>"BRIKOL PISOS ALTO TRANSITO VERDE X 10 L - CETOL"</f>
        <v>BRIKOL PISOS ALTO TRANSITO VERDE X 10 L - CETOL</v>
      </c>
      <c r="C636">
        <v>187673.46</v>
      </c>
      <c r="D636">
        <v>227084.8866</v>
      </c>
    </row>
    <row r="637" spans="1:4" x14ac:dyDescent="0.25">
      <c r="A637" t="str">
        <f>"00791"</f>
        <v>00791</v>
      </c>
      <c r="B637" t="str">
        <f>"BRIKOL PISOS INCOLORO X 1 LT. - CETOL"</f>
        <v>BRIKOL PISOS INCOLORO X 1 LT. - CETOL</v>
      </c>
      <c r="C637">
        <v>20375.73</v>
      </c>
      <c r="D637">
        <v>24654.633299999998</v>
      </c>
    </row>
    <row r="638" spans="1:4" x14ac:dyDescent="0.25">
      <c r="A638" t="str">
        <f>"00792"</f>
        <v>00792</v>
      </c>
      <c r="B638" t="str">
        <f>"BRIKOL PISOS INCOLORO X 4 LTS. - CETOL"</f>
        <v>BRIKOL PISOS INCOLORO X 4 LTS. - CETOL</v>
      </c>
      <c r="C638">
        <v>72771.34</v>
      </c>
      <c r="D638">
        <v>88053.321399999986</v>
      </c>
    </row>
    <row r="639" spans="1:4" x14ac:dyDescent="0.25">
      <c r="A639" t="str">
        <f>"00793"</f>
        <v>00793</v>
      </c>
      <c r="B639" t="str">
        <f>"BRIKOL PISOS NEGRO X 1 LT. - CETOL"</f>
        <v>BRIKOL PISOS NEGRO X 1 LT. - CETOL</v>
      </c>
      <c r="C639">
        <v>20375.73</v>
      </c>
      <c r="D639">
        <v>24654.633299999998</v>
      </c>
    </row>
    <row r="640" spans="1:4" x14ac:dyDescent="0.25">
      <c r="A640" t="str">
        <f>"00794"</f>
        <v>00794</v>
      </c>
      <c r="B640" t="str">
        <f>"BRIKOL PISOS NEGRO X 4 LTS. - CETOL"</f>
        <v>BRIKOL PISOS NEGRO X 4 LTS. - CETOL</v>
      </c>
      <c r="C640">
        <v>72771.34</v>
      </c>
      <c r="D640">
        <v>88053.321399999986</v>
      </c>
    </row>
    <row r="641" spans="1:4" x14ac:dyDescent="0.25">
      <c r="A641" t="str">
        <f>"00795"</f>
        <v>00795</v>
      </c>
      <c r="B641" t="str">
        <f>"BRIKOL PISOS ROJO X 1 LT. - CETOL"</f>
        <v>BRIKOL PISOS ROJO X 1 LT. - CETOL</v>
      </c>
      <c r="C641">
        <v>20375.73</v>
      </c>
      <c r="D641">
        <v>24654.633299999998</v>
      </c>
    </row>
    <row r="642" spans="1:4" x14ac:dyDescent="0.25">
      <c r="A642" t="str">
        <f>"00796"</f>
        <v>00796</v>
      </c>
      <c r="B642" t="str">
        <f>"BRIKOL PISOS ROJO X 4 LTS - CETOL"</f>
        <v>BRIKOL PISOS ROJO X 4 LTS - CETOL</v>
      </c>
      <c r="C642">
        <v>72771.34</v>
      </c>
      <c r="D642">
        <v>88053.321399999986</v>
      </c>
    </row>
    <row r="643" spans="1:4" x14ac:dyDescent="0.25">
      <c r="A643" t="str">
        <f>"00797"</f>
        <v>00797</v>
      </c>
      <c r="B643" t="str">
        <f>"BRIKOL SILICONA PROFESIONAL X  4 LTS. - CETOL"</f>
        <v>BRIKOL SILICONA PROFESIONAL X  4 LTS. - CETOL</v>
      </c>
      <c r="C643">
        <v>43408.15</v>
      </c>
      <c r="D643">
        <v>52523.861499999999</v>
      </c>
    </row>
    <row r="644" spans="1:4" x14ac:dyDescent="0.25">
      <c r="A644" t="str">
        <f>"00798"</f>
        <v>00798</v>
      </c>
      <c r="B644" t="str">
        <f>"BRIKOL SILICONA PROFESIONAL X 20 LTS. - CETOL"</f>
        <v>BRIKOL SILICONA PROFESIONAL X 20 LTS. - CETOL</v>
      </c>
      <c r="C644">
        <v>166955.20000000001</v>
      </c>
      <c r="D644">
        <v>202015.79200000002</v>
      </c>
    </row>
    <row r="645" spans="1:4" x14ac:dyDescent="0.25">
      <c r="A645" t="str">
        <f>"00799"</f>
        <v>00799</v>
      </c>
      <c r="B645" t="str">
        <f>"CETOL BELLEZA NATURAL 1L - CETOL"</f>
        <v>CETOL BELLEZA NATURAL 1L - CETOL</v>
      </c>
      <c r="C645">
        <v>27696.400000000001</v>
      </c>
      <c r="D645">
        <v>33512.644</v>
      </c>
    </row>
    <row r="646" spans="1:4" x14ac:dyDescent="0.25">
      <c r="A646" t="str">
        <f>"00800"</f>
        <v>00800</v>
      </c>
      <c r="B646" t="str">
        <f>"CETOL BELLEZA NATURAL 4L - CETOL"</f>
        <v>CETOL BELLEZA NATURAL 4L - CETOL</v>
      </c>
      <c r="C646">
        <v>95504.04</v>
      </c>
      <c r="D646">
        <v>115559.88839999998</v>
      </c>
    </row>
    <row r="647" spans="1:4" x14ac:dyDescent="0.25">
      <c r="A647" t="str">
        <f>"00808"</f>
        <v>00808</v>
      </c>
      <c r="B647" t="str">
        <f>"CETOL CLASSIC BALANCE BRI CRISTAL X 1L - CETOL"</f>
        <v>CETOL CLASSIC BALANCE BRI CRISTAL X 1L - CETOL</v>
      </c>
      <c r="C647">
        <v>24689.02</v>
      </c>
      <c r="D647">
        <v>29873.714199999999</v>
      </c>
    </row>
    <row r="648" spans="1:4" x14ac:dyDescent="0.25">
      <c r="A648" t="str">
        <f>"00809"</f>
        <v>00809</v>
      </c>
      <c r="B648" t="str">
        <f>"CETOL CLASSIC BALANCE BRI CRISTAL X 4L - CETOL"</f>
        <v>CETOL CLASSIC BALANCE BRI CRISTAL X 4L - CETOL</v>
      </c>
      <c r="C648">
        <v>85135.22</v>
      </c>
      <c r="D648">
        <v>103013.6162</v>
      </c>
    </row>
    <row r="649" spans="1:4" x14ac:dyDescent="0.25">
      <c r="A649" t="str">
        <f>"00828"</f>
        <v>00828</v>
      </c>
      <c r="B649" t="str">
        <f>"CETOL CLASSIC BALANCE SATIN CRISTAL X 1L - CETOL"</f>
        <v>CETOL CLASSIC BALANCE SATIN CRISTAL X 1L - CETOL</v>
      </c>
      <c r="C649">
        <v>18992.34</v>
      </c>
      <c r="D649">
        <v>22980.731400000001</v>
      </c>
    </row>
    <row r="650" spans="1:4" x14ac:dyDescent="0.25">
      <c r="A650" t="str">
        <f>"00837"</f>
        <v>00837</v>
      </c>
      <c r="B650" t="str">
        <f>"CETOL CLASSIC BRILLANTE CAOBA X  1 LT - CETOL"</f>
        <v>CETOL CLASSIC BRILLANTE CAOBA X  1 LT - CETOL</v>
      </c>
      <c r="C650">
        <v>20574.52</v>
      </c>
      <c r="D650">
        <v>24895.1692</v>
      </c>
    </row>
    <row r="651" spans="1:4" x14ac:dyDescent="0.25">
      <c r="A651" t="str">
        <f>"00838"</f>
        <v>00838</v>
      </c>
      <c r="B651" t="str">
        <f>"CETOL CLASSIC BRILLANTE CAOBA X  4 LTS - CETOL"</f>
        <v>CETOL CLASSIC BRILLANTE CAOBA X  4 LTS - CETOL</v>
      </c>
      <c r="C651">
        <v>70945.509999999995</v>
      </c>
      <c r="D651">
        <v>85844.067099999986</v>
      </c>
    </row>
    <row r="652" spans="1:4" x14ac:dyDescent="0.25">
      <c r="A652" t="str">
        <f>"00839"</f>
        <v>00839</v>
      </c>
      <c r="B652" t="str">
        <f>"CETOL CLASSIC BRILLANTE CAOBA X 10 LTS - CETOL"</f>
        <v>CETOL CLASSIC BRILLANTE CAOBA X 10 LTS - CETOL</v>
      </c>
      <c r="C652">
        <v>173816.09</v>
      </c>
      <c r="D652">
        <v>210317.46889999998</v>
      </c>
    </row>
    <row r="653" spans="1:4" x14ac:dyDescent="0.25">
      <c r="A653" t="str">
        <f>"00840"</f>
        <v>00840</v>
      </c>
      <c r="B653" t="str">
        <f>"CETOL CLASSIC BRILLANTE CEDRO X  1 LTS - CETOL"</f>
        <v>CETOL CLASSIC BRILLANTE CEDRO X  1 LTS - CETOL</v>
      </c>
      <c r="C653">
        <v>20574.52</v>
      </c>
      <c r="D653">
        <v>24895.1692</v>
      </c>
    </row>
    <row r="654" spans="1:4" x14ac:dyDescent="0.25">
      <c r="A654" t="str">
        <f>"00841"</f>
        <v>00841</v>
      </c>
      <c r="B654" t="str">
        <f>"CETOL CLASSIC BRILLANTE CEDRO X  4 LTS - CETOL"</f>
        <v>CETOL CLASSIC BRILLANTE CEDRO X  4 LTS - CETOL</v>
      </c>
      <c r="C654">
        <v>70945.509999999995</v>
      </c>
      <c r="D654">
        <v>85844.067099999986</v>
      </c>
    </row>
    <row r="655" spans="1:4" x14ac:dyDescent="0.25">
      <c r="A655" t="str">
        <f>"00842"</f>
        <v>00842</v>
      </c>
      <c r="B655" t="str">
        <f>"CETOL CLASSIC BRILLANTE CEDRO X 10 LTS - CETOL"</f>
        <v>CETOL CLASSIC BRILLANTE CEDRO X 10 LTS - CETOL</v>
      </c>
      <c r="C655">
        <v>173816.09</v>
      </c>
      <c r="D655">
        <v>210317.46889999998</v>
      </c>
    </row>
    <row r="656" spans="1:4" x14ac:dyDescent="0.25">
      <c r="A656" t="str">
        <f>"00843"</f>
        <v>00843</v>
      </c>
      <c r="B656" t="str">
        <f>"CETOL CLASSIC BRILLANTE CRISTAL X  1 LT - CETOL"</f>
        <v>CETOL CLASSIC BRILLANTE CRISTAL X  1 LT - CETOL</v>
      </c>
      <c r="C656">
        <v>20574.52</v>
      </c>
      <c r="D656">
        <v>24895.1692</v>
      </c>
    </row>
    <row r="657" spans="1:4" x14ac:dyDescent="0.25">
      <c r="A657" t="str">
        <f>"00844"</f>
        <v>00844</v>
      </c>
      <c r="B657" t="str">
        <f>"CETOL CLASSIC BRILLANTE CRISTAL X  4 LTS - CETOL"</f>
        <v>CETOL CLASSIC BRILLANTE CRISTAL X  4 LTS - CETOL</v>
      </c>
      <c r="C657">
        <v>70945.509999999995</v>
      </c>
      <c r="D657">
        <v>85844.067099999986</v>
      </c>
    </row>
    <row r="658" spans="1:4" x14ac:dyDescent="0.25">
      <c r="A658" t="str">
        <f>"00845"</f>
        <v>00845</v>
      </c>
      <c r="B658" t="str">
        <f>"CETOL CLASSIC BRILLANTE CRISTAL X 10 LTS - CETOL"</f>
        <v>CETOL CLASSIC BRILLANTE CRISTAL X 10 LTS - CETOL</v>
      </c>
      <c r="C658">
        <v>173816.09</v>
      </c>
      <c r="D658">
        <v>210317.46889999998</v>
      </c>
    </row>
    <row r="659" spans="1:4" x14ac:dyDescent="0.25">
      <c r="A659" t="str">
        <f>"00846"</f>
        <v>00846</v>
      </c>
      <c r="B659" t="str">
        <f>"CETOL CLASSIC BRILLANTE NATURAL X  1 LT. - CETOL"</f>
        <v>CETOL CLASSIC BRILLANTE NATURAL X  1 LT. - CETOL</v>
      </c>
      <c r="C659">
        <v>20574.52</v>
      </c>
      <c r="D659">
        <v>24895.1692</v>
      </c>
    </row>
    <row r="660" spans="1:4" x14ac:dyDescent="0.25">
      <c r="A660" t="str">
        <f>"00847"</f>
        <v>00847</v>
      </c>
      <c r="B660" t="str">
        <f>"CETOL CLASSIC BRILLANTE NATURAL X  4 LTS. - CETOL"</f>
        <v>CETOL CLASSIC BRILLANTE NATURAL X  4 LTS. - CETOL</v>
      </c>
      <c r="C660">
        <v>70945.509999999995</v>
      </c>
      <c r="D660">
        <v>85844.067099999986</v>
      </c>
    </row>
    <row r="661" spans="1:4" x14ac:dyDescent="0.25">
      <c r="A661" t="str">
        <f>"00848"</f>
        <v>00848</v>
      </c>
      <c r="B661" t="str">
        <f>"CETOL CLASSIC BRILLANTE NATURAL X 10 LTS - CETOL"</f>
        <v>CETOL CLASSIC BRILLANTE NATURAL X 10 LTS - CETOL</v>
      </c>
      <c r="C661">
        <v>173816.09</v>
      </c>
      <c r="D661">
        <v>210317.46889999998</v>
      </c>
    </row>
    <row r="662" spans="1:4" x14ac:dyDescent="0.25">
      <c r="A662" t="str">
        <f>"00849"</f>
        <v>00849</v>
      </c>
      <c r="B662" t="str">
        <f>"CETOL CLASSIC BRILLANTE NOGAL X  1 LT - CETOL"</f>
        <v>CETOL CLASSIC BRILLANTE NOGAL X  1 LT - CETOL</v>
      </c>
      <c r="C662">
        <v>20574.52</v>
      </c>
      <c r="D662">
        <v>24895.1692</v>
      </c>
    </row>
    <row r="663" spans="1:4" x14ac:dyDescent="0.25">
      <c r="A663" t="str">
        <f>"00850"</f>
        <v>00850</v>
      </c>
      <c r="B663" t="str">
        <f>"CETOL CLASSIC BRILLANTE NOGAL X  4 LTS. - CETOL"</f>
        <v>CETOL CLASSIC BRILLANTE NOGAL X  4 LTS. - CETOL</v>
      </c>
      <c r="C663">
        <v>70945.509999999995</v>
      </c>
      <c r="D663">
        <v>85844.067099999986</v>
      </c>
    </row>
    <row r="664" spans="1:4" x14ac:dyDescent="0.25">
      <c r="A664" t="str">
        <f>"00851"</f>
        <v>00851</v>
      </c>
      <c r="B664" t="str">
        <f>"CETOL CLASSIC BRILLANTE NOGAL X 10 LTS - CETOL"</f>
        <v>CETOL CLASSIC BRILLANTE NOGAL X 10 LTS - CETOL</v>
      </c>
      <c r="C664">
        <v>173816.09</v>
      </c>
      <c r="D664">
        <v>210317.46889999998</v>
      </c>
    </row>
    <row r="665" spans="1:4" x14ac:dyDescent="0.25">
      <c r="A665" t="str">
        <f>"00852"</f>
        <v>00852</v>
      </c>
      <c r="B665" t="str">
        <f>"CETOL CLASSIC BRILLANTE ROBLE X  1 LT - CETOL"</f>
        <v>CETOL CLASSIC BRILLANTE ROBLE X  1 LT - CETOL</v>
      </c>
      <c r="C665">
        <v>20574.52</v>
      </c>
      <c r="D665">
        <v>24895.1692</v>
      </c>
    </row>
    <row r="666" spans="1:4" x14ac:dyDescent="0.25">
      <c r="A666" t="str">
        <f>"00853"</f>
        <v>00853</v>
      </c>
      <c r="B666" t="str">
        <f>"CETOL CLASSIC BRILLANTE ROBLE X  4 LTS - CETOL"</f>
        <v>CETOL CLASSIC BRILLANTE ROBLE X  4 LTS - CETOL</v>
      </c>
      <c r="C666">
        <v>70945.509999999995</v>
      </c>
      <c r="D666">
        <v>85844.067099999986</v>
      </c>
    </row>
    <row r="667" spans="1:4" x14ac:dyDescent="0.25">
      <c r="A667" t="str">
        <f>"00854"</f>
        <v>00854</v>
      </c>
      <c r="B667" t="str">
        <f>"CETOL CLASSIC BRILLANTE ROBLE X 10 LTS - CETOL"</f>
        <v>CETOL CLASSIC BRILLANTE ROBLE X 10 LTS - CETOL</v>
      </c>
      <c r="C667">
        <v>173816.09</v>
      </c>
      <c r="D667">
        <v>210317.46889999998</v>
      </c>
    </row>
    <row r="668" spans="1:4" x14ac:dyDescent="0.25">
      <c r="A668" t="str">
        <f>"00855"</f>
        <v>00855</v>
      </c>
      <c r="B668" t="str">
        <f>"CETOL CLASSIC SATINADO CAOBA X  1 LT - CETOL"</f>
        <v>CETOL CLASSIC SATINADO CAOBA X  1 LT - CETOL</v>
      </c>
      <c r="C668">
        <v>15826.95</v>
      </c>
      <c r="D668">
        <v>19150.609499999999</v>
      </c>
    </row>
    <row r="669" spans="1:4" x14ac:dyDescent="0.25">
      <c r="A669" t="str">
        <f>"00856"</f>
        <v>00856</v>
      </c>
      <c r="B669" t="str">
        <f>"CETOL CLASSIC SATINADO CAOBA X  4 LTS - CETOL"</f>
        <v>CETOL CLASSIC SATINADO CAOBA X  4 LTS - CETOL</v>
      </c>
      <c r="C669">
        <v>54574.17</v>
      </c>
      <c r="D669">
        <v>66034.745699999999</v>
      </c>
    </row>
    <row r="670" spans="1:4" x14ac:dyDescent="0.25">
      <c r="A670" t="str">
        <f>"00857"</f>
        <v>00857</v>
      </c>
      <c r="B670" t="str">
        <f>"CETOL CLASSIC SATINADO CAOBA X 10 LTS - CETOL"</f>
        <v>CETOL CLASSIC SATINADO CAOBA X 10 LTS - CETOL</v>
      </c>
      <c r="C670">
        <v>133706.88</v>
      </c>
      <c r="D670">
        <v>161785.3248</v>
      </c>
    </row>
    <row r="671" spans="1:4" x14ac:dyDescent="0.25">
      <c r="A671" t="str">
        <f>"00858"</f>
        <v>00858</v>
      </c>
      <c r="B671" t="str">
        <f>"CETOL CLASSIC SATINADO CAOBA X 20 LTS - CETOL"</f>
        <v>CETOL CLASSIC SATINADO CAOBA X 20 LTS - CETOL</v>
      </c>
      <c r="C671">
        <v>246129.7</v>
      </c>
      <c r="D671">
        <v>297816.93700000003</v>
      </c>
    </row>
    <row r="672" spans="1:4" x14ac:dyDescent="0.25">
      <c r="A672" t="str">
        <f>"00859"</f>
        <v>00859</v>
      </c>
      <c r="B672" t="str">
        <f>"CETOL CLASSIC SATINADO CEDRO X  1LT - CETOL"</f>
        <v>CETOL CLASSIC SATINADO CEDRO X  1LT - CETOL</v>
      </c>
      <c r="C672">
        <v>15826.95</v>
      </c>
      <c r="D672">
        <v>19150.609499999999</v>
      </c>
    </row>
    <row r="673" spans="1:4" x14ac:dyDescent="0.25">
      <c r="A673" t="str">
        <f>"00860"</f>
        <v>00860</v>
      </c>
      <c r="B673" t="str">
        <f>"CETOL CLASSIC SATINADO CEDRO X  4 LTS - CETOL"</f>
        <v>CETOL CLASSIC SATINADO CEDRO X  4 LTS - CETOL</v>
      </c>
      <c r="C673">
        <v>54574.17</v>
      </c>
      <c r="D673">
        <v>66034.745699999999</v>
      </c>
    </row>
    <row r="674" spans="1:4" x14ac:dyDescent="0.25">
      <c r="A674" t="str">
        <f>"00861"</f>
        <v>00861</v>
      </c>
      <c r="B674" t="str">
        <f>"CETOL CLASSIC SATINADO CEDRO X 10 LTS - CETOL"</f>
        <v>CETOL CLASSIC SATINADO CEDRO X 10 LTS - CETOL</v>
      </c>
      <c r="C674">
        <v>133706.88</v>
      </c>
      <c r="D674">
        <v>161785.3248</v>
      </c>
    </row>
    <row r="675" spans="1:4" x14ac:dyDescent="0.25">
      <c r="A675" t="str">
        <f>"00862"</f>
        <v>00862</v>
      </c>
      <c r="B675" t="str">
        <f>"CETOL CLASSIC SATINADO CEDRO X 20 LTS - CETOL"</f>
        <v>CETOL CLASSIC SATINADO CEDRO X 20 LTS - CETOL</v>
      </c>
      <c r="C675">
        <v>246129.7</v>
      </c>
      <c r="D675">
        <v>297816.93700000003</v>
      </c>
    </row>
    <row r="676" spans="1:4" x14ac:dyDescent="0.25">
      <c r="A676" t="str">
        <f>"00863"</f>
        <v>00863</v>
      </c>
      <c r="B676" t="str">
        <f>"CETOL CLASSIC SATINADO CRISTAL X  1 LT - CETOL"</f>
        <v>CETOL CLASSIC SATINADO CRISTAL X  1 LT - CETOL</v>
      </c>
      <c r="C676">
        <v>15826.95</v>
      </c>
      <c r="D676">
        <v>19150.609499999999</v>
      </c>
    </row>
    <row r="677" spans="1:4" x14ac:dyDescent="0.25">
      <c r="A677" t="str">
        <f>"00864"</f>
        <v>00864</v>
      </c>
      <c r="B677" t="str">
        <f>"CETOL CLASSIC SATINADO CRISTAL X  4 LTS - CETOL"</f>
        <v>CETOL CLASSIC SATINADO CRISTAL X  4 LTS - CETOL</v>
      </c>
      <c r="C677">
        <v>54574.17</v>
      </c>
      <c r="D677">
        <v>66034.745699999999</v>
      </c>
    </row>
    <row r="678" spans="1:4" x14ac:dyDescent="0.25">
      <c r="A678" t="str">
        <f>"00865"</f>
        <v>00865</v>
      </c>
      <c r="B678" t="str">
        <f>"CETOL CLASSIC SATINADO CRISTAL X 10 LTS - CETOL"</f>
        <v>CETOL CLASSIC SATINADO CRISTAL X 10 LTS - CETOL</v>
      </c>
      <c r="C678">
        <v>133706.88</v>
      </c>
      <c r="D678">
        <v>161785.3248</v>
      </c>
    </row>
    <row r="679" spans="1:4" x14ac:dyDescent="0.25">
      <c r="A679" t="str">
        <f>"00866"</f>
        <v>00866</v>
      </c>
      <c r="B679" t="str">
        <f>"CETOL CLASSIC SATINADO CRISTAL X 20 LTS - CETOL"</f>
        <v>CETOL CLASSIC SATINADO CRISTAL X 20 LTS - CETOL</v>
      </c>
      <c r="C679">
        <v>246129.7</v>
      </c>
      <c r="D679">
        <v>297816.93700000003</v>
      </c>
    </row>
    <row r="680" spans="1:4" x14ac:dyDescent="0.25">
      <c r="A680" t="str">
        <f>"00867"</f>
        <v>00867</v>
      </c>
      <c r="B680" t="str">
        <f>"CETOL CLASSIC SATINADO NATURAL X  1 LT. - CETOL"</f>
        <v>CETOL CLASSIC SATINADO NATURAL X  1 LT. - CETOL</v>
      </c>
      <c r="C680">
        <v>15826.95</v>
      </c>
      <c r="D680">
        <v>19150.609499999999</v>
      </c>
    </row>
    <row r="681" spans="1:4" x14ac:dyDescent="0.25">
      <c r="A681" t="str">
        <f>"00868"</f>
        <v>00868</v>
      </c>
      <c r="B681" t="str">
        <f>"CETOL CLASSIC SATINADO NATURAL X  4 LTS - CETOL"</f>
        <v>CETOL CLASSIC SATINADO NATURAL X  4 LTS - CETOL</v>
      </c>
      <c r="C681">
        <v>54574.17</v>
      </c>
      <c r="D681">
        <v>66034.745699999999</v>
      </c>
    </row>
    <row r="682" spans="1:4" x14ac:dyDescent="0.25">
      <c r="A682" t="str">
        <f>"00869"</f>
        <v>00869</v>
      </c>
      <c r="B682" t="str">
        <f>"CETOL CLASSIC SATINADO NATURAL X 10 LTS - CETOL"</f>
        <v>CETOL CLASSIC SATINADO NATURAL X 10 LTS - CETOL</v>
      </c>
      <c r="C682">
        <v>133706.88</v>
      </c>
      <c r="D682">
        <v>161785.3248</v>
      </c>
    </row>
    <row r="683" spans="1:4" x14ac:dyDescent="0.25">
      <c r="A683" t="str">
        <f>"00870"</f>
        <v>00870</v>
      </c>
      <c r="B683" t="str">
        <f>"CETOL CLASSIC SATINADO NATURAL X 20 LTS - CETOL"</f>
        <v>CETOL CLASSIC SATINADO NATURAL X 20 LTS - CETOL</v>
      </c>
      <c r="C683">
        <v>246129.7</v>
      </c>
      <c r="D683">
        <v>297816.93700000003</v>
      </c>
    </row>
    <row r="684" spans="1:4" x14ac:dyDescent="0.25">
      <c r="A684" t="str">
        <f>"00871"</f>
        <v>00871</v>
      </c>
      <c r="B684" t="str">
        <f>"CETOL CLASSIC SATINADO NOGAL X  1 LT - CETOL"</f>
        <v>CETOL CLASSIC SATINADO NOGAL X  1 LT - CETOL</v>
      </c>
      <c r="C684">
        <v>15826.95</v>
      </c>
      <c r="D684">
        <v>19150.609499999999</v>
      </c>
    </row>
    <row r="685" spans="1:4" x14ac:dyDescent="0.25">
      <c r="A685" t="str">
        <f>"00872"</f>
        <v>00872</v>
      </c>
      <c r="B685" t="str">
        <f>"CETOL CLASSIC SATINADO NOGAL X  4 LTS - CETOL"</f>
        <v>CETOL CLASSIC SATINADO NOGAL X  4 LTS - CETOL</v>
      </c>
      <c r="C685">
        <v>54574.17</v>
      </c>
      <c r="D685">
        <v>66034.745699999999</v>
      </c>
    </row>
    <row r="686" spans="1:4" x14ac:dyDescent="0.25">
      <c r="A686" t="str">
        <f>"00873"</f>
        <v>00873</v>
      </c>
      <c r="B686" t="str">
        <f>"CETOL CLASSIC SATINADO NOGAL X 10 LTS - CETOL"</f>
        <v>CETOL CLASSIC SATINADO NOGAL X 10 LTS - CETOL</v>
      </c>
      <c r="C686">
        <v>133706.88</v>
      </c>
      <c r="D686">
        <v>161785.3248</v>
      </c>
    </row>
    <row r="687" spans="1:4" x14ac:dyDescent="0.25">
      <c r="A687" t="str">
        <f>"00874"</f>
        <v>00874</v>
      </c>
      <c r="B687" t="str">
        <f>"CETOL CLASSIC SATINADO NOGAL X 20 LTS - CETOL"</f>
        <v>CETOL CLASSIC SATINADO NOGAL X 20 LTS - CETOL</v>
      </c>
      <c r="C687">
        <v>246129.7</v>
      </c>
      <c r="D687">
        <v>297816.93700000003</v>
      </c>
    </row>
    <row r="688" spans="1:4" x14ac:dyDescent="0.25">
      <c r="A688" t="str">
        <f>"00875"</f>
        <v>00875</v>
      </c>
      <c r="B688" t="str">
        <f>"CETOL CLASSIC SATINADO ROBLE X  1 LT - CETOL"</f>
        <v>CETOL CLASSIC SATINADO ROBLE X  1 LT - CETOL</v>
      </c>
      <c r="C688">
        <v>15826.95</v>
      </c>
      <c r="D688">
        <v>19150.609499999999</v>
      </c>
    </row>
    <row r="689" spans="1:4" x14ac:dyDescent="0.25">
      <c r="A689" t="str">
        <f>"00876"</f>
        <v>00876</v>
      </c>
      <c r="B689" t="str">
        <f>"CETOL CLASSIC SATINADO ROBLE X  4 LTS. - CETOL"</f>
        <v>CETOL CLASSIC SATINADO ROBLE X  4 LTS. - CETOL</v>
      </c>
      <c r="C689">
        <v>54574.17</v>
      </c>
      <c r="D689">
        <v>66034.745699999999</v>
      </c>
    </row>
    <row r="690" spans="1:4" x14ac:dyDescent="0.25">
      <c r="A690" t="str">
        <f>"00877"</f>
        <v>00877</v>
      </c>
      <c r="B690" t="str">
        <f>"CETOL CLASSIC SATINADO ROBLE X 10 LTS - CETOL"</f>
        <v>CETOL CLASSIC SATINADO ROBLE X 10 LTS - CETOL</v>
      </c>
      <c r="C690">
        <v>133706.88</v>
      </c>
      <c r="D690">
        <v>161785.3248</v>
      </c>
    </row>
    <row r="691" spans="1:4" x14ac:dyDescent="0.25">
      <c r="A691" t="str">
        <f>"00878"</f>
        <v>00878</v>
      </c>
      <c r="B691" t="str">
        <f>"CETOL CLASSIC SATINADO ROBLE X 20 LTS - CETOL"</f>
        <v>CETOL CLASSIC SATINADO ROBLE X 20 LTS - CETOL</v>
      </c>
      <c r="C691">
        <v>246129.7</v>
      </c>
      <c r="D691">
        <v>297816.93700000003</v>
      </c>
    </row>
    <row r="692" spans="1:4" x14ac:dyDescent="0.25">
      <c r="A692" t="str">
        <f>"00879"</f>
        <v>00879</v>
      </c>
      <c r="B692" t="str">
        <f>"CETOL CLASSIC VINTAGE SATINADO X 1L - CETOL"</f>
        <v>CETOL CLASSIC VINTAGE SATINADO X 1L - CETOL</v>
      </c>
      <c r="C692">
        <v>18982.14</v>
      </c>
      <c r="D692">
        <v>22968.3894</v>
      </c>
    </row>
    <row r="693" spans="1:4" x14ac:dyDescent="0.25">
      <c r="A693" t="str">
        <f>"00880"</f>
        <v>00880</v>
      </c>
      <c r="B693" t="str">
        <f>"CETOL CLASSIC VINTAGE SATINADO X 4L - CETOL"</f>
        <v>CETOL CLASSIC VINTAGE SATINADO X 4L - CETOL</v>
      </c>
      <c r="C693">
        <v>65454.76</v>
      </c>
      <c r="D693">
        <v>79200.259600000005</v>
      </c>
    </row>
    <row r="694" spans="1:4" x14ac:dyDescent="0.25">
      <c r="A694" t="str">
        <f>"00881"</f>
        <v>00881</v>
      </c>
      <c r="B694" t="str">
        <f>"CETOL DECK BALANCE NATURAL X 1L - CETOL"</f>
        <v>CETOL DECK BALANCE NATURAL X 1L - CETOL</v>
      </c>
      <c r="C694">
        <v>23323.98</v>
      </c>
      <c r="D694">
        <v>28222.015799999997</v>
      </c>
    </row>
    <row r="695" spans="1:4" x14ac:dyDescent="0.25">
      <c r="A695" t="str">
        <f>"00882"</f>
        <v>00882</v>
      </c>
      <c r="B695" t="str">
        <f>"CETOL DECK BALANCE NATURAL X 4L - CETOL"</f>
        <v>CETOL DECK BALANCE NATURAL X 4L - CETOL</v>
      </c>
      <c r="C695">
        <v>80427.41</v>
      </c>
      <c r="D695">
        <v>97317.166100000002</v>
      </c>
    </row>
    <row r="696" spans="1:4" x14ac:dyDescent="0.25">
      <c r="A696" t="str">
        <f>"00883"</f>
        <v>00883</v>
      </c>
      <c r="B696" t="str">
        <f>"CETOL DECK BALANCE TECA X 1L - CETOL"</f>
        <v>CETOL DECK BALANCE TECA X 1L - CETOL</v>
      </c>
      <c r="C696">
        <v>23323.98</v>
      </c>
      <c r="D696">
        <v>28222.015799999997</v>
      </c>
    </row>
    <row r="697" spans="1:4" x14ac:dyDescent="0.25">
      <c r="A697" t="str">
        <f>"00884"</f>
        <v>00884</v>
      </c>
      <c r="B697" t="str">
        <f>"CETOL DECK BALANCE TECA X 4L - CETOL"</f>
        <v>CETOL DECK BALANCE TECA X 4L - CETOL</v>
      </c>
      <c r="C697">
        <v>80427.41</v>
      </c>
      <c r="D697">
        <v>97317.166100000002</v>
      </c>
    </row>
    <row r="698" spans="1:4" x14ac:dyDescent="0.25">
      <c r="A698" t="str">
        <f>"00885"</f>
        <v>00885</v>
      </c>
      <c r="B698" t="str">
        <f>"CETOL DECK NATURAL X  1 LT. - CETOL"</f>
        <v>CETOL DECK NATURAL X  1 LT. - CETOL</v>
      </c>
      <c r="C698">
        <v>19435.8</v>
      </c>
      <c r="D698">
        <v>23517.317999999999</v>
      </c>
    </row>
    <row r="699" spans="1:4" x14ac:dyDescent="0.25">
      <c r="A699" t="str">
        <f>"00886"</f>
        <v>00886</v>
      </c>
      <c r="B699" t="str">
        <f>"CETOL DECK NATURAL X  4 LTS. - CETOL"</f>
        <v>CETOL DECK NATURAL X  4 LTS. - CETOL</v>
      </c>
      <c r="C699">
        <v>67021.649999999994</v>
      </c>
      <c r="D699">
        <v>81096.196499999991</v>
      </c>
    </row>
    <row r="700" spans="1:4" x14ac:dyDescent="0.25">
      <c r="A700" t="str">
        <f>"00887"</f>
        <v>00887</v>
      </c>
      <c r="B700" t="str">
        <f>"CETOL DECK NATURAL X 10 LTS - CETOL"</f>
        <v>CETOL DECK NATURAL X 10 LTS - CETOL</v>
      </c>
      <c r="C700">
        <v>164202.68</v>
      </c>
      <c r="D700">
        <v>198685.24279999998</v>
      </c>
    </row>
    <row r="701" spans="1:4" x14ac:dyDescent="0.25">
      <c r="A701" t="str">
        <f>"00892"</f>
        <v>00892</v>
      </c>
      <c r="B701" t="str">
        <f>"CETOL DECK PLUS NATURAL X 1 LT - CETOL"</f>
        <v>CETOL DECK PLUS NATURAL X 1 LT - CETOL</v>
      </c>
      <c r="C701">
        <v>24295.51</v>
      </c>
      <c r="D701">
        <v>29397.567099999997</v>
      </c>
    </row>
    <row r="702" spans="1:4" x14ac:dyDescent="0.25">
      <c r="A702" t="str">
        <f>"00893"</f>
        <v>00893</v>
      </c>
      <c r="B702" t="str">
        <f>"CETOL DECK PLUS NATURAL X 4 LTS - CETOL"</f>
        <v>CETOL DECK PLUS NATURAL X 4 LTS - CETOL</v>
      </c>
      <c r="C702">
        <v>83778.34</v>
      </c>
      <c r="D702">
        <v>101371.79139999999</v>
      </c>
    </row>
    <row r="703" spans="1:4" x14ac:dyDescent="0.25">
      <c r="A703" t="str">
        <f>"00894"</f>
        <v>00894</v>
      </c>
      <c r="B703" t="str">
        <f>"CETOL DECK PLUS TECA X 1 LT - CETOL"</f>
        <v>CETOL DECK PLUS TECA X 1 LT - CETOL</v>
      </c>
      <c r="C703">
        <v>24295.51</v>
      </c>
      <c r="D703">
        <v>29397.567099999997</v>
      </c>
    </row>
    <row r="704" spans="1:4" x14ac:dyDescent="0.25">
      <c r="A704" t="str">
        <f>"00895"</f>
        <v>00895</v>
      </c>
      <c r="B704" t="str">
        <f>"CETOL DECK PLUS TECA X 4 LTS - CETOL"</f>
        <v>CETOL DECK PLUS TECA X 4 LTS - CETOL</v>
      </c>
      <c r="C704">
        <v>83778.34</v>
      </c>
      <c r="D704">
        <v>101371.79139999999</v>
      </c>
    </row>
    <row r="705" spans="1:4" x14ac:dyDescent="0.25">
      <c r="A705" t="str">
        <f>"00896"</f>
        <v>00896</v>
      </c>
      <c r="B705" t="str">
        <f>"CETOL DECK ROBLE X  1 LT. - CETOL"</f>
        <v>CETOL DECK ROBLE X  1 LT. - CETOL</v>
      </c>
      <c r="C705">
        <v>19435.8</v>
      </c>
      <c r="D705">
        <v>23517.317999999999</v>
      </c>
    </row>
    <row r="706" spans="1:4" x14ac:dyDescent="0.25">
      <c r="A706" t="str">
        <f>"00897"</f>
        <v>00897</v>
      </c>
      <c r="B706" t="str">
        <f>"CETOL DECK ROBLE X  4 LTS. - CETOL"</f>
        <v>CETOL DECK ROBLE X  4 LTS. - CETOL</v>
      </c>
      <c r="C706">
        <v>67021.649999999994</v>
      </c>
      <c r="D706">
        <v>81096.196499999991</v>
      </c>
    </row>
    <row r="707" spans="1:4" x14ac:dyDescent="0.25">
      <c r="A707" t="str">
        <f>"00898"</f>
        <v>00898</v>
      </c>
      <c r="B707" t="str">
        <f>"CETOL DECK ROBLE X 10 LTS - CETOL"</f>
        <v>CETOL DECK ROBLE X 10 LTS - CETOL</v>
      </c>
      <c r="C707">
        <v>164202.68</v>
      </c>
      <c r="D707">
        <v>198685.24279999998</v>
      </c>
    </row>
    <row r="708" spans="1:4" x14ac:dyDescent="0.25">
      <c r="A708" t="str">
        <f>"00902"</f>
        <v>00902</v>
      </c>
      <c r="B708" t="str">
        <f>"CETOL DECK TECA X  1 LT. - CETOL"</f>
        <v>CETOL DECK TECA X  1 LT. - CETOL</v>
      </c>
      <c r="C708">
        <v>19435.8</v>
      </c>
      <c r="D708">
        <v>23517.317999999999</v>
      </c>
    </row>
    <row r="709" spans="1:4" x14ac:dyDescent="0.25">
      <c r="A709" t="str">
        <f>"00903"</f>
        <v>00903</v>
      </c>
      <c r="B709" t="str">
        <f>"CETOL DECK TECA X  4 LTS. - CETOL"</f>
        <v>CETOL DECK TECA X  4 LTS. - CETOL</v>
      </c>
      <c r="C709">
        <v>67021.649999999994</v>
      </c>
      <c r="D709">
        <v>81096.196499999991</v>
      </c>
    </row>
    <row r="710" spans="1:4" x14ac:dyDescent="0.25">
      <c r="A710" t="str">
        <f>"00904"</f>
        <v>00904</v>
      </c>
      <c r="B710" t="str">
        <f>"CETOL DECK TECA X 10 LTS - CETOL"</f>
        <v>CETOL DECK TECA X 10 LTS - CETOL</v>
      </c>
      <c r="C710">
        <v>164202.68</v>
      </c>
      <c r="D710">
        <v>198685.24279999998</v>
      </c>
    </row>
    <row r="711" spans="1:4" x14ac:dyDescent="0.25">
      <c r="A711" t="str">
        <f>"00905"</f>
        <v>00905</v>
      </c>
      <c r="B711" t="str">
        <f>"CETOL DECK VINTAGE SATINADO X 1L - CETOL"</f>
        <v>CETOL DECK VINTAGE SATINADO X 1L - CETOL</v>
      </c>
      <c r="C711">
        <v>23907.1</v>
      </c>
      <c r="D711">
        <v>28927.590999999997</v>
      </c>
    </row>
    <row r="712" spans="1:4" x14ac:dyDescent="0.25">
      <c r="A712" t="str">
        <f>"00906"</f>
        <v>00906</v>
      </c>
      <c r="B712" t="str">
        <f>"CETOL DECK VINTAGE SATINADO X 4L - CETOL"</f>
        <v>CETOL DECK VINTAGE SATINADO X 4L - CETOL</v>
      </c>
      <c r="C712">
        <v>82437.759999999995</v>
      </c>
      <c r="D712">
        <v>99749.689599999998</v>
      </c>
    </row>
    <row r="713" spans="1:4" x14ac:dyDescent="0.25">
      <c r="A713" t="str">
        <f>"00932"</f>
        <v>00932</v>
      </c>
      <c r="B713" t="str">
        <f>"CETOL DURACION EXTREMA BRILLANTE CRISTAL 4L - CETOL"</f>
        <v>CETOL DURACION EXTREMA BRILLANTE CRISTAL 4L - CETOL</v>
      </c>
      <c r="C713">
        <v>97519.49</v>
      </c>
      <c r="D713">
        <v>117998.58290000001</v>
      </c>
    </row>
    <row r="714" spans="1:4" x14ac:dyDescent="0.25">
      <c r="A714" t="str">
        <f>"00933"</f>
        <v>00933</v>
      </c>
      <c r="B714" t="str">
        <f>"CETOL DURACION EXTREMA BRILLANTE NATURAL 1L - CETOL"</f>
        <v>CETOL DURACION EXTREMA BRILLANTE NATURAL 1L - CETOL</v>
      </c>
      <c r="C714">
        <v>28280.54</v>
      </c>
      <c r="D714">
        <v>34219.453399999999</v>
      </c>
    </row>
    <row r="715" spans="1:4" x14ac:dyDescent="0.25">
      <c r="A715" t="str">
        <f>"00934"</f>
        <v>00934</v>
      </c>
      <c r="B715" t="str">
        <f>"CETOL DURACION EXTREMA BRILLANTE NATURAL 4L - CETOL"</f>
        <v>CETOL DURACION EXTREMA BRILLANTE NATURAL 4L - CETOL</v>
      </c>
      <c r="C715">
        <v>97519.49</v>
      </c>
      <c r="D715">
        <v>117998.58290000001</v>
      </c>
    </row>
    <row r="716" spans="1:4" x14ac:dyDescent="0.25">
      <c r="A716" t="str">
        <f>"00943"</f>
        <v>00943</v>
      </c>
      <c r="B716" t="str">
        <f>"CETOL DURACION EXTREMA SATINADO CRISTAL 1L - CETOL"</f>
        <v>CETOL DURACION EXTREMA SATINADO CRISTAL 1L - CETOL</v>
      </c>
      <c r="C716">
        <v>21754.03</v>
      </c>
      <c r="D716">
        <v>26322.376299999996</v>
      </c>
    </row>
    <row r="717" spans="1:4" x14ac:dyDescent="0.25">
      <c r="A717" t="str">
        <f>"00944"</f>
        <v>00944</v>
      </c>
      <c r="B717" t="str">
        <f>"CETOL DURACION EXTREMA SATINADO CRISTAL 4L - CETOL"</f>
        <v>CETOL DURACION EXTREMA SATINADO CRISTAL 4L - CETOL</v>
      </c>
      <c r="C717">
        <v>75015.149999999994</v>
      </c>
      <c r="D717">
        <v>90768.331499999986</v>
      </c>
    </row>
    <row r="718" spans="1:4" x14ac:dyDescent="0.25">
      <c r="A718" t="str">
        <f>"00955"</f>
        <v>00955</v>
      </c>
      <c r="B718" t="str">
        <f>"CETOL LIMPIADOR X 1 LT. - CETOL"</f>
        <v>CETOL LIMPIADOR X 1 LT. - CETOL</v>
      </c>
      <c r="C718">
        <v>12600.39</v>
      </c>
      <c r="D718">
        <v>15246.471899999999</v>
      </c>
    </row>
    <row r="719" spans="1:4" x14ac:dyDescent="0.25">
      <c r="A719" t="str">
        <f>"00956"</f>
        <v>00956</v>
      </c>
      <c r="B719" t="str">
        <f>"CETOL PARQUET BALANCE BRILLANTE X 1 L - CETOL"</f>
        <v>CETOL PARQUET BALANCE BRILLANTE X 1 L - CETOL</v>
      </c>
      <c r="C719">
        <v>46414.5</v>
      </c>
      <c r="D719">
        <v>56161.544999999998</v>
      </c>
    </row>
    <row r="720" spans="1:4" x14ac:dyDescent="0.25">
      <c r="A720" t="str">
        <f>"00957"</f>
        <v>00957</v>
      </c>
      <c r="B720" t="str">
        <f>"CETOL PARQUET BALANCE BRILLANTE X 4 L - CETOL"</f>
        <v>CETOL PARQUET BALANCE BRILLANTE X 4 L - CETOL</v>
      </c>
      <c r="C720">
        <v>160049.45000000001</v>
      </c>
      <c r="D720">
        <v>193659.8345</v>
      </c>
    </row>
    <row r="721" spans="1:4" x14ac:dyDescent="0.25">
      <c r="A721" t="str">
        <f>"00958"</f>
        <v>00958</v>
      </c>
      <c r="B721" t="str">
        <f>"CETOL PARQUET BALANCE SATINADO X 1 L - CETOL"</f>
        <v>CETOL PARQUET BALANCE SATINADO X 1 L - CETOL</v>
      </c>
      <c r="C721">
        <v>46414.5</v>
      </c>
      <c r="D721">
        <v>56161.544999999998</v>
      </c>
    </row>
    <row r="722" spans="1:4" x14ac:dyDescent="0.25">
      <c r="A722" t="str">
        <f>"00959"</f>
        <v>00959</v>
      </c>
      <c r="B722" t="str">
        <f>"CETOL PARQUET BALANCE SATINADO X 4 L - CETOL"</f>
        <v>CETOL PARQUET BALANCE SATINADO X 4 L - CETOL</v>
      </c>
      <c r="C722">
        <v>160049.45000000001</v>
      </c>
      <c r="D722">
        <v>193659.8345</v>
      </c>
    </row>
    <row r="723" spans="1:4" x14ac:dyDescent="0.25">
      <c r="A723" t="str">
        <f>"00960"</f>
        <v>00960</v>
      </c>
      <c r="B723" t="str">
        <f>"CETOL PARQUET RECUB VITROP BRILLANTE X 1L - CETOL"</f>
        <v>CETOL PARQUET RECUB VITROP BRILLANTE X 1L - CETOL</v>
      </c>
      <c r="C723">
        <v>38677.9</v>
      </c>
      <c r="D723">
        <v>46800.258999999998</v>
      </c>
    </row>
    <row r="724" spans="1:4" x14ac:dyDescent="0.25">
      <c r="A724" t="str">
        <f>"00961"</f>
        <v>00961</v>
      </c>
      <c r="B724" t="str">
        <f>"CETOL PARQUET RECUB VITROP BRILLANTE X 4L - CETOL"</f>
        <v>CETOL PARQUET RECUB VITROP BRILLANTE X 4L - CETOL</v>
      </c>
      <c r="C724">
        <v>133373.51999999999</v>
      </c>
      <c r="D724">
        <v>161381.95919999998</v>
      </c>
    </row>
    <row r="725" spans="1:4" x14ac:dyDescent="0.25">
      <c r="A725" t="str">
        <f>"00962"</f>
        <v>00962</v>
      </c>
      <c r="B725" t="str">
        <f>"CETOL PARQUET RECUB VITROP SATINADO X 1L - CETOL"</f>
        <v>CETOL PARQUET RECUB VITROP SATINADO X 1L - CETOL</v>
      </c>
      <c r="C725">
        <v>38677.9</v>
      </c>
      <c r="D725">
        <v>46800.258999999998</v>
      </c>
    </row>
    <row r="726" spans="1:4" x14ac:dyDescent="0.25">
      <c r="A726" t="str">
        <f>"00963"</f>
        <v>00963</v>
      </c>
      <c r="B726" t="str">
        <f>"CETOL PARQUET RECUB VITROP SATINADO X 4L - CETOL"</f>
        <v>CETOL PARQUET RECUB VITROP SATINADO X 4L - CETOL</v>
      </c>
      <c r="C726">
        <v>133373.51999999999</v>
      </c>
      <c r="D726">
        <v>161381.95919999998</v>
      </c>
    </row>
    <row r="727" spans="1:4" x14ac:dyDescent="0.25">
      <c r="A727" t="str">
        <f>"00964"</f>
        <v>00964</v>
      </c>
      <c r="B727" t="str">
        <f>"CETOL PARQUET SELLADOR X 1 LT. - CETOL"</f>
        <v>CETOL PARQUET SELLADOR X 1 LT. - CETOL</v>
      </c>
      <c r="C727">
        <v>26819.67</v>
      </c>
      <c r="D727">
        <v>32451.800699999996</v>
      </c>
    </row>
    <row r="728" spans="1:4" x14ac:dyDescent="0.25">
      <c r="A728" t="str">
        <f>"00966"</f>
        <v>00966</v>
      </c>
      <c r="B728" t="str">
        <f>"CETOL TINTA UNIV ALGARROBO X 0,06 L - CETOL"</f>
        <v>CETOL TINTA UNIV ALGARROBO X 0,06 L - CETOL</v>
      </c>
      <c r="C728">
        <v>3066.5</v>
      </c>
      <c r="D728">
        <v>3710.4649999999997</v>
      </c>
    </row>
    <row r="729" spans="1:4" x14ac:dyDescent="0.25">
      <c r="A729" t="str">
        <f>"00967"</f>
        <v>00967</v>
      </c>
      <c r="B729" t="str">
        <f>"CETOL TINTA UNIV ALGARROBO X 0,24 L - CETOL"</f>
        <v>CETOL TINTA UNIV ALGARROBO X 0,24 L - CETOL</v>
      </c>
      <c r="C729">
        <v>7666.26</v>
      </c>
      <c r="D729">
        <v>9276.1746000000003</v>
      </c>
    </row>
    <row r="730" spans="1:4" x14ac:dyDescent="0.25">
      <c r="A730" t="str">
        <f>"00968"</f>
        <v>00968</v>
      </c>
      <c r="B730" t="str">
        <f>"CETOL TINTA UNIV CAOBA X 0,06 L - CETOL"</f>
        <v>CETOL TINTA UNIV CAOBA X 0,06 L - CETOL</v>
      </c>
      <c r="C730">
        <v>3066.5</v>
      </c>
      <c r="D730">
        <v>3710.4649999999997</v>
      </c>
    </row>
    <row r="731" spans="1:4" x14ac:dyDescent="0.25">
      <c r="A731" t="str">
        <f>"00969"</f>
        <v>00969</v>
      </c>
      <c r="B731" t="str">
        <f>"CETOL TINTA UNIV CAOBA X 0,24 L - CETOL"</f>
        <v>CETOL TINTA UNIV CAOBA X 0,24 L - CETOL</v>
      </c>
      <c r="C731">
        <v>7666.26</v>
      </c>
      <c r="D731">
        <v>9276.1746000000003</v>
      </c>
    </row>
    <row r="732" spans="1:4" x14ac:dyDescent="0.25">
      <c r="A732" t="str">
        <f>"00970"</f>
        <v>00970</v>
      </c>
      <c r="B732" t="str">
        <f>"CETOL TINTA UNIV CEDRO X 0,06 L - CETOL"</f>
        <v>CETOL TINTA UNIV CEDRO X 0,06 L - CETOL</v>
      </c>
      <c r="C732">
        <v>3066.5</v>
      </c>
      <c r="D732">
        <v>3710.4649999999997</v>
      </c>
    </row>
    <row r="733" spans="1:4" x14ac:dyDescent="0.25">
      <c r="A733" t="str">
        <f>"00971"</f>
        <v>00971</v>
      </c>
      <c r="B733" t="str">
        <f>"CETOL TINTA UNIV CEDRO X 0,24 L - CETOL"</f>
        <v>CETOL TINTA UNIV CEDRO X 0,24 L - CETOL</v>
      </c>
      <c r="C733">
        <v>7666.26</v>
      </c>
      <c r="D733">
        <v>9276.1746000000003</v>
      </c>
    </row>
    <row r="734" spans="1:4" x14ac:dyDescent="0.25">
      <c r="A734" t="str">
        <f>"00972"</f>
        <v>00972</v>
      </c>
      <c r="B734" t="str">
        <f>"CETOL TINTA UNIV NOGAL X 0,06 L - CETOL"</f>
        <v>CETOL TINTA UNIV NOGAL X 0,06 L - CETOL</v>
      </c>
      <c r="C734">
        <v>3066.5</v>
      </c>
      <c r="D734">
        <v>3710.4649999999997</v>
      </c>
    </row>
    <row r="735" spans="1:4" x14ac:dyDescent="0.25">
      <c r="A735" t="str">
        <f>"00973"</f>
        <v>00973</v>
      </c>
      <c r="B735" t="str">
        <f>"CETOL TINTA UNIV NOGAL X 0,24 L - CETOL"</f>
        <v>CETOL TINTA UNIV NOGAL X 0,24 L - CETOL</v>
      </c>
      <c r="C735">
        <v>7666.26</v>
      </c>
      <c r="D735">
        <v>9276.1746000000003</v>
      </c>
    </row>
    <row r="736" spans="1:4" x14ac:dyDescent="0.25">
      <c r="A736" t="str">
        <f>"00974"</f>
        <v>00974</v>
      </c>
      <c r="B736" t="str">
        <f>"CETOL TINTA UNIV PETIRIBI X 0,06 L - CETOL"</f>
        <v>CETOL TINTA UNIV PETIRIBI X 0,06 L - CETOL</v>
      </c>
      <c r="C736">
        <v>3066.5</v>
      </c>
      <c r="D736">
        <v>3710.4649999999997</v>
      </c>
    </row>
    <row r="737" spans="1:4" x14ac:dyDescent="0.25">
      <c r="A737" t="str">
        <f>"00975"</f>
        <v>00975</v>
      </c>
      <c r="B737" t="str">
        <f>"CETOL TINTA UNIV PETIRIBI X 0,24 L - CETOL"</f>
        <v>CETOL TINTA UNIV PETIRIBI X 0,24 L - CETOL</v>
      </c>
      <c r="C737">
        <v>7666.26</v>
      </c>
      <c r="D737">
        <v>9276.1746000000003</v>
      </c>
    </row>
    <row r="738" spans="1:4" x14ac:dyDescent="0.25">
      <c r="A738" t="str">
        <f>"00976"</f>
        <v>00976</v>
      </c>
      <c r="B738" t="str">
        <f>"CETOL TINTA UNIV ROBLE CLARO X 0,06 L - CETOL"</f>
        <v>CETOL TINTA UNIV ROBLE CLARO X 0,06 L - CETOL</v>
      </c>
      <c r="C738">
        <v>3066.5</v>
      </c>
      <c r="D738">
        <v>3710.4649999999997</v>
      </c>
    </row>
    <row r="739" spans="1:4" x14ac:dyDescent="0.25">
      <c r="A739" t="str">
        <f>"00977"</f>
        <v>00977</v>
      </c>
      <c r="B739" t="str">
        <f>"CETOL TINTA UNIV ROBLE CLARO X 0,24 L - CETOL"</f>
        <v>CETOL TINTA UNIV ROBLE CLARO X 0,24 L - CETOL</v>
      </c>
      <c r="C739">
        <v>7666.26</v>
      </c>
      <c r="D739">
        <v>9276.1746000000003</v>
      </c>
    </row>
    <row r="740" spans="1:4" x14ac:dyDescent="0.25">
      <c r="A740" t="str">
        <f>"00978"</f>
        <v>00978</v>
      </c>
      <c r="B740" t="str">
        <f>"CETOL TINTA UNIV ROBLE OSCURO X 0,06 L - CETOL"</f>
        <v>CETOL TINTA UNIV ROBLE OSCURO X 0,06 L - CETOL</v>
      </c>
      <c r="C740">
        <v>3066.5</v>
      </c>
      <c r="D740">
        <v>3710.4649999999997</v>
      </c>
    </row>
    <row r="741" spans="1:4" x14ac:dyDescent="0.25">
      <c r="A741" t="str">
        <f>"00979"</f>
        <v>00979</v>
      </c>
      <c r="B741" t="str">
        <f>"CETOL TINTA UNIV ROBLE OSCURO X 0,24 L - CETOL"</f>
        <v>CETOL TINTA UNIV ROBLE OSCURO X 0,24 L - CETOL</v>
      </c>
      <c r="C741">
        <v>7666.26</v>
      </c>
      <c r="D741">
        <v>9276.1746000000003</v>
      </c>
    </row>
    <row r="742" spans="1:4" x14ac:dyDescent="0.25">
      <c r="A742" t="str">
        <f>"00980"</f>
        <v>00980</v>
      </c>
      <c r="B742" t="str">
        <f>"CETOL TINTA UNIV VIRARO X 0,06 L - CETOL"</f>
        <v>CETOL TINTA UNIV VIRARO X 0,06 L - CETOL</v>
      </c>
      <c r="C742">
        <v>3066.5</v>
      </c>
      <c r="D742">
        <v>3710.4649999999997</v>
      </c>
    </row>
    <row r="743" spans="1:4" x14ac:dyDescent="0.25">
      <c r="A743" t="str">
        <f>"00981"</f>
        <v>00981</v>
      </c>
      <c r="B743" t="str">
        <f>"CETOL TINTA UNIV VIRARO X 0,24 L - CETOL"</f>
        <v>CETOL TINTA UNIV VIRARO X 0,24 L - CETOL</v>
      </c>
      <c r="C743">
        <v>7666.26</v>
      </c>
      <c r="D743">
        <v>9276.1746000000003</v>
      </c>
    </row>
    <row r="744" spans="1:4" x14ac:dyDescent="0.25">
      <c r="A744" t="str">
        <f>"00982"</f>
        <v>00982</v>
      </c>
      <c r="B744" t="str">
        <f>"CETOL TINTA UNIV WENGE X 0,06 L - CETOL"</f>
        <v>CETOL TINTA UNIV WENGE X 0,06 L - CETOL</v>
      </c>
      <c r="C744">
        <v>3066.5</v>
      </c>
      <c r="D744">
        <v>3710.4649999999997</v>
      </c>
    </row>
    <row r="745" spans="1:4" x14ac:dyDescent="0.25">
      <c r="A745" t="str">
        <f>"00983"</f>
        <v>00983</v>
      </c>
      <c r="B745" t="str">
        <f>"CETOL TINTA UNIV WENGE X 0,24 L - CETOL"</f>
        <v>CETOL TINTA UNIV WENGE X 0,24 L - CETOL</v>
      </c>
      <c r="C745">
        <v>7666.26</v>
      </c>
      <c r="D745">
        <v>9276.1746000000003</v>
      </c>
    </row>
    <row r="746" spans="1:4" x14ac:dyDescent="0.25">
      <c r="A746" t="str">
        <f>"00984"</f>
        <v>00984</v>
      </c>
      <c r="B746" t="str">
        <f>"AUTOCLEAR PLUS HS X 1L- SIKKENS"</f>
        <v>AUTOCLEAR PLUS HS X 1L- SIKKENS</v>
      </c>
      <c r="C746">
        <v>30050.59</v>
      </c>
      <c r="D746">
        <v>36361.213900000002</v>
      </c>
    </row>
    <row r="747" spans="1:4" x14ac:dyDescent="0.25">
      <c r="A747" t="str">
        <f>"00985"</f>
        <v>00985</v>
      </c>
      <c r="B747" t="str">
        <f>"ENDURECEDOR P15 X 1L- SIKKENS"</f>
        <v>ENDURECEDOR P15 X 1L- SIKKENS</v>
      </c>
      <c r="C747">
        <v>53723.55</v>
      </c>
      <c r="D747">
        <v>65005.495500000005</v>
      </c>
    </row>
    <row r="748" spans="1:4" x14ac:dyDescent="0.25">
      <c r="A748" t="str">
        <f>"00986"</f>
        <v>00986</v>
      </c>
      <c r="B748" t="str">
        <f>"1K ALL PLASTIC PRIMER   AEROSOL -  - SIKKENS"</f>
        <v>1K ALL PLASTIC PRIMER   AEROSOL -  - SIKKENS</v>
      </c>
      <c r="C748">
        <v>29181.02</v>
      </c>
      <c r="D748">
        <v>35309.034200000002</v>
      </c>
    </row>
    <row r="749" spans="1:4" x14ac:dyDescent="0.25">
      <c r="A749" t="str">
        <f>"00987"</f>
        <v>00987</v>
      </c>
      <c r="B749" t="str">
        <f>"1K ALL PLASTIC PRIMER 1L - SIKKENS"</f>
        <v>1K ALL PLASTIC PRIMER 1L - SIKKENS</v>
      </c>
      <c r="C749">
        <v>46287.38</v>
      </c>
      <c r="D749">
        <v>56007.729799999994</v>
      </c>
    </row>
    <row r="750" spans="1:4" x14ac:dyDescent="0.25">
      <c r="A750" t="str">
        <f>"00995"</f>
        <v>00995</v>
      </c>
      <c r="B750" t="str">
        <f>"AM PLUS MM Q040 - SIKKENS"</f>
        <v>AM PLUS MM Q040 - SIKKENS</v>
      </c>
      <c r="C750">
        <v>94031.75</v>
      </c>
      <c r="D750">
        <v>113778.4175</v>
      </c>
    </row>
    <row r="751" spans="1:4" x14ac:dyDescent="0.25">
      <c r="A751" t="str">
        <f>"00996"</f>
        <v>00996</v>
      </c>
      <c r="B751" t="str">
        <f>"AM PLUS MM Q065 - SIKKENS"</f>
        <v>AM PLUS MM Q065 - SIKKENS</v>
      </c>
      <c r="C751">
        <v>167907.77</v>
      </c>
      <c r="D751">
        <v>203168.40169999999</v>
      </c>
    </row>
    <row r="752" spans="1:4" x14ac:dyDescent="0.25">
      <c r="A752" t="str">
        <f>"00997"</f>
        <v>00997</v>
      </c>
      <c r="B752" t="str">
        <f>"AM PLUS MM Q070 - SIKKENS"</f>
        <v>AM PLUS MM Q070 - SIKKENS</v>
      </c>
      <c r="C752">
        <v>68179.64</v>
      </c>
      <c r="D752">
        <v>82497.364399999991</v>
      </c>
    </row>
    <row r="753" spans="1:4" x14ac:dyDescent="0.25">
      <c r="A753" t="str">
        <f>"00998"</f>
        <v>00998</v>
      </c>
      <c r="B753" t="str">
        <f>"AM PLUS MM Q080 (SSC) - SIKKENS"</f>
        <v>AM PLUS MM Q080 (SSC) - SIKKENS</v>
      </c>
      <c r="C753">
        <v>241993.08</v>
      </c>
      <c r="D753">
        <v>292811.62679999997</v>
      </c>
    </row>
    <row r="754" spans="1:4" x14ac:dyDescent="0.25">
      <c r="A754" t="str">
        <f>"00999"</f>
        <v>00999</v>
      </c>
      <c r="B754" t="str">
        <f>"AM PLUS MM Q110 - SIKKENS"</f>
        <v>AM PLUS MM Q110 - SIKKENS</v>
      </c>
      <c r="C754">
        <v>289679.45</v>
      </c>
      <c r="D754">
        <v>350512.13449999999</v>
      </c>
    </row>
    <row r="755" spans="1:4" x14ac:dyDescent="0.25">
      <c r="A755" t="str">
        <f>"01000"</f>
        <v>01000</v>
      </c>
      <c r="B755" t="str">
        <f>"AM PLUS MM Q120 - SIKKENS"</f>
        <v>AM PLUS MM Q120 - SIKKENS</v>
      </c>
      <c r="C755">
        <v>233953.19</v>
      </c>
      <c r="D755">
        <v>283083.35989999998</v>
      </c>
    </row>
    <row r="756" spans="1:4" x14ac:dyDescent="0.25">
      <c r="A756" t="str">
        <f>"01001"</f>
        <v>01001</v>
      </c>
      <c r="B756" t="str">
        <f>"AM PLUS MM Q140 - SIKKENS"</f>
        <v>AM PLUS MM Q140 - SIKKENS</v>
      </c>
      <c r="C756">
        <v>226906.05</v>
      </c>
      <c r="D756">
        <v>274556.32049999997</v>
      </c>
    </row>
    <row r="757" spans="1:4" x14ac:dyDescent="0.25">
      <c r="A757" t="str">
        <f>"01002"</f>
        <v>01002</v>
      </c>
      <c r="B757" t="str">
        <f>"AM PLUS MM Q160 - SIKKENS"</f>
        <v>AM PLUS MM Q160 - SIKKENS</v>
      </c>
      <c r="C757">
        <v>255586.62</v>
      </c>
      <c r="D757">
        <v>309259.81020000001</v>
      </c>
    </row>
    <row r="758" spans="1:4" x14ac:dyDescent="0.25">
      <c r="A758" t="str">
        <f>"01003"</f>
        <v>01003</v>
      </c>
      <c r="B758" t="str">
        <f>"AM PLUS MM Q190 - SIKKENS"</f>
        <v>AM PLUS MM Q190 - SIKKENS</v>
      </c>
      <c r="C758">
        <v>73377.509999999995</v>
      </c>
      <c r="D758">
        <v>88786.787099999987</v>
      </c>
    </row>
    <row r="759" spans="1:4" x14ac:dyDescent="0.25">
      <c r="A759" t="str">
        <f>"01004"</f>
        <v>01004</v>
      </c>
      <c r="B759" t="str">
        <f>"AM PLUS MM Q191 - SIKKENS"</f>
        <v>AM PLUS MM Q191 - SIKKENS</v>
      </c>
      <c r="C759">
        <v>73377.509999999995</v>
      </c>
      <c r="D759">
        <v>88786.787099999987</v>
      </c>
    </row>
    <row r="760" spans="1:4" x14ac:dyDescent="0.25">
      <c r="A760" t="str">
        <f>"01005"</f>
        <v>01005</v>
      </c>
      <c r="B760" t="str">
        <f>"AM PLUS MM Q196 - SIKKENS"</f>
        <v>AM PLUS MM Q196 - SIKKENS</v>
      </c>
      <c r="C760">
        <v>76069.97</v>
      </c>
      <c r="D760">
        <v>92044.663700000005</v>
      </c>
    </row>
    <row r="761" spans="1:4" x14ac:dyDescent="0.25">
      <c r="A761" t="str">
        <f>"01006"</f>
        <v>01006</v>
      </c>
      <c r="B761" t="str">
        <f>"AM PLUS MM Q198 - SIKKENS"</f>
        <v>AM PLUS MM Q198 - SIKKENS</v>
      </c>
      <c r="C761">
        <v>183866.74</v>
      </c>
      <c r="D761">
        <v>222478.75539999999</v>
      </c>
    </row>
    <row r="762" spans="1:4" x14ac:dyDescent="0.25">
      <c r="A762" t="str">
        <f>"01007"</f>
        <v>01007</v>
      </c>
      <c r="B762" t="str">
        <f>"AM PLUS MM Q231 - SIKKENS"</f>
        <v>AM PLUS MM Q231 - SIKKENS</v>
      </c>
      <c r="C762">
        <v>201264.76</v>
      </c>
      <c r="D762">
        <v>243530.3596</v>
      </c>
    </row>
    <row r="763" spans="1:4" x14ac:dyDescent="0.25">
      <c r="A763" t="str">
        <f>"01008"</f>
        <v>01008</v>
      </c>
      <c r="B763" t="str">
        <f>"AM PLUS MM Q232 - SIKKENS"</f>
        <v>AM PLUS MM Q232 - SIKKENS</v>
      </c>
      <c r="C763">
        <v>282056.52</v>
      </c>
      <c r="D763">
        <v>341288.38920000003</v>
      </c>
    </row>
    <row r="764" spans="1:4" x14ac:dyDescent="0.25">
      <c r="A764" t="str">
        <f>"01009"</f>
        <v>01009</v>
      </c>
      <c r="B764" t="str">
        <f>"AM PLUS MM Q235 - SIKKENS"</f>
        <v>AM PLUS MM Q235 - SIKKENS</v>
      </c>
      <c r="C764">
        <v>271039.74</v>
      </c>
      <c r="D764">
        <v>327958.08539999998</v>
      </c>
    </row>
    <row r="765" spans="1:4" x14ac:dyDescent="0.25">
      <c r="A765" t="str">
        <f>"01010"</f>
        <v>01010</v>
      </c>
      <c r="B765" t="str">
        <f>"AM PLUS MM Q239 - SIKKENS"</f>
        <v>AM PLUS MM Q239 - SIKKENS</v>
      </c>
      <c r="C765">
        <v>90110.75</v>
      </c>
      <c r="D765">
        <v>109034.00749999999</v>
      </c>
    </row>
    <row r="766" spans="1:4" x14ac:dyDescent="0.25">
      <c r="A766" t="str">
        <f>"01011"</f>
        <v>01011</v>
      </c>
      <c r="B766" t="str">
        <f>"AM PLUS MM Q271 - SIKKENS"</f>
        <v>AM PLUS MM Q271 - SIKKENS</v>
      </c>
      <c r="C766">
        <v>171358.91</v>
      </c>
      <c r="D766">
        <v>207344.28109999999</v>
      </c>
    </row>
    <row r="767" spans="1:4" x14ac:dyDescent="0.25">
      <c r="A767" t="str">
        <f>"01012"</f>
        <v>01012</v>
      </c>
      <c r="B767" t="str">
        <f>"AM PLUS MM Q279 - SIKKENS"</f>
        <v>AM PLUS MM Q279 - SIKKENS</v>
      </c>
      <c r="C767">
        <v>145699.07</v>
      </c>
      <c r="D767">
        <v>176295.87470000001</v>
      </c>
    </row>
    <row r="768" spans="1:4" x14ac:dyDescent="0.25">
      <c r="A768" t="str">
        <f>"01013"</f>
        <v>01013</v>
      </c>
      <c r="B768" t="str">
        <f>"AM PLUS MM Q325 - SIKKENS"</f>
        <v>AM PLUS MM Q325 - SIKKENS</v>
      </c>
      <c r="C768">
        <v>158806.94</v>
      </c>
      <c r="D768">
        <v>192156.39739999999</v>
      </c>
    </row>
    <row r="769" spans="1:4" x14ac:dyDescent="0.25">
      <c r="A769" t="str">
        <f>"01014"</f>
        <v>01014</v>
      </c>
      <c r="B769" t="str">
        <f>"AM PLUS MM Q328 - SIKKENS"</f>
        <v>AM PLUS MM Q328 - SIKKENS</v>
      </c>
      <c r="C769">
        <v>105355.59</v>
      </c>
      <c r="D769">
        <v>127480.26389999999</v>
      </c>
    </row>
    <row r="770" spans="1:4" x14ac:dyDescent="0.25">
      <c r="A770" t="str">
        <f>"01015"</f>
        <v>01015</v>
      </c>
      <c r="B770" t="str">
        <f>"AM PLUS MM Q348 - SIKKENS"</f>
        <v>AM PLUS MM Q348 - SIKKENS</v>
      </c>
      <c r="C770">
        <v>208056.23</v>
      </c>
      <c r="D770">
        <v>251748.03830000001</v>
      </c>
    </row>
    <row r="771" spans="1:4" x14ac:dyDescent="0.25">
      <c r="A771" t="str">
        <f>"01016"</f>
        <v>01016</v>
      </c>
      <c r="B771" t="str">
        <f>"AM PLUS MM Q432 - SIKKENS"</f>
        <v>AM PLUS MM Q432 - SIKKENS</v>
      </c>
      <c r="C771">
        <v>251383.23</v>
      </c>
      <c r="D771">
        <v>304173.7083</v>
      </c>
    </row>
    <row r="772" spans="1:4" x14ac:dyDescent="0.25">
      <c r="A772" t="str">
        <f>"01017"</f>
        <v>01017</v>
      </c>
      <c r="B772" t="str">
        <f>"AM PLUS MM Q436 - SIKKENS"</f>
        <v>AM PLUS MM Q436 - SIKKENS</v>
      </c>
      <c r="C772">
        <v>105355.59</v>
      </c>
      <c r="D772">
        <v>127480.26389999999</v>
      </c>
    </row>
    <row r="773" spans="1:4" x14ac:dyDescent="0.25">
      <c r="A773" t="str">
        <f>"01018"</f>
        <v>01018</v>
      </c>
      <c r="B773" t="str">
        <f>"AM PLUS MM Q437 - SIKKENS"</f>
        <v>AM PLUS MM Q437 - SIKKENS</v>
      </c>
      <c r="C773">
        <v>114032.73</v>
      </c>
      <c r="D773">
        <v>137979.60329999999</v>
      </c>
    </row>
    <row r="774" spans="1:4" x14ac:dyDescent="0.25">
      <c r="A774" t="str">
        <f>"01019"</f>
        <v>01019</v>
      </c>
      <c r="B774" t="str">
        <f>"AM PLUS MM Q439 - SIKKENS"</f>
        <v>AM PLUS MM Q439 - SIKKENS</v>
      </c>
      <c r="C774">
        <v>216674.45</v>
      </c>
      <c r="D774">
        <v>262176.0845</v>
      </c>
    </row>
    <row r="775" spans="1:4" x14ac:dyDescent="0.25">
      <c r="A775" t="str">
        <f>"01020"</f>
        <v>01020</v>
      </c>
      <c r="B775" t="str">
        <f>"AM PLUS MM Q452 - SIKKENS"</f>
        <v>AM PLUS MM Q452 - SIKKENS</v>
      </c>
      <c r="C775">
        <v>205284.14</v>
      </c>
      <c r="D775">
        <v>248393.8094</v>
      </c>
    </row>
    <row r="776" spans="1:4" x14ac:dyDescent="0.25">
      <c r="A776" t="str">
        <f>"01021"</f>
        <v>01021</v>
      </c>
      <c r="B776" t="str">
        <f>"AM PLUS MM Q455 - SIKKENS"</f>
        <v>AM PLUS MM Q455 - SIKKENS</v>
      </c>
      <c r="C776">
        <v>179188.69</v>
      </c>
      <c r="D776">
        <v>216818.3149</v>
      </c>
    </row>
    <row r="777" spans="1:4" x14ac:dyDescent="0.25">
      <c r="A777" t="str">
        <f>"01022"</f>
        <v>01022</v>
      </c>
      <c r="B777" t="str">
        <f>"AM PLUS MM Q550 - SIKKENS"</f>
        <v>AM PLUS MM Q550 - SIKKENS</v>
      </c>
      <c r="C777">
        <v>190576.45</v>
      </c>
      <c r="D777">
        <v>230597.50450000001</v>
      </c>
    </row>
    <row r="778" spans="1:4" x14ac:dyDescent="0.25">
      <c r="A778" t="str">
        <f>"01023"</f>
        <v>01023</v>
      </c>
      <c r="B778" t="str">
        <f>"AM PLUS MM Q564 - SIKKENS"</f>
        <v>AM PLUS MM Q564 - SIKKENS</v>
      </c>
      <c r="C778">
        <v>158002.79999999999</v>
      </c>
      <c r="D778">
        <v>191183.38799999998</v>
      </c>
    </row>
    <row r="779" spans="1:4" x14ac:dyDescent="0.25">
      <c r="A779" t="str">
        <f>"01024"</f>
        <v>01024</v>
      </c>
      <c r="B779" t="str">
        <f>"AM PLUS MM Q671 - SIKKENS"</f>
        <v>AM PLUS MM Q671 - SIKKENS</v>
      </c>
      <c r="C779">
        <v>105355.59</v>
      </c>
      <c r="D779">
        <v>127480.26389999999</v>
      </c>
    </row>
    <row r="780" spans="1:4" x14ac:dyDescent="0.25">
      <c r="A780" t="str">
        <f>"01025"</f>
        <v>01025</v>
      </c>
      <c r="B780" t="str">
        <f>"AM PLUS MM Q673 - SIKKENS"</f>
        <v>AM PLUS MM Q673 - SIKKENS</v>
      </c>
      <c r="C780">
        <v>114032.73</v>
      </c>
      <c r="D780">
        <v>137979.60329999999</v>
      </c>
    </row>
    <row r="781" spans="1:4" x14ac:dyDescent="0.25">
      <c r="A781" t="str">
        <f>"01026"</f>
        <v>01026</v>
      </c>
      <c r="B781" t="str">
        <f>"AM PLUS MM Q725 - SIKKENS"</f>
        <v>AM PLUS MM Q725 - SIKKENS</v>
      </c>
      <c r="C781">
        <v>213422.2</v>
      </c>
      <c r="D781">
        <v>258240.86199999999</v>
      </c>
    </row>
    <row r="782" spans="1:4" x14ac:dyDescent="0.25">
      <c r="A782" t="str">
        <f>"01027"</f>
        <v>01027</v>
      </c>
      <c r="B782" t="str">
        <f>"AM PLUS MM Q726 - SIKKENS"</f>
        <v>AM PLUS MM Q726 - SIKKENS</v>
      </c>
      <c r="C782">
        <v>186435.24</v>
      </c>
      <c r="D782">
        <v>225586.64039999997</v>
      </c>
    </row>
    <row r="783" spans="1:4" x14ac:dyDescent="0.25">
      <c r="A783" t="str">
        <f>"01028"</f>
        <v>01028</v>
      </c>
      <c r="B783" t="str">
        <f>"AM PLUS MM Q766 - SIKKENS"</f>
        <v>AM PLUS MM Q766 - SIKKENS</v>
      </c>
      <c r="C783">
        <v>129483.71</v>
      </c>
      <c r="D783">
        <v>156675.28909999999</v>
      </c>
    </row>
    <row r="784" spans="1:4" x14ac:dyDescent="0.25">
      <c r="A784" t="str">
        <f>"01029"</f>
        <v>01029</v>
      </c>
      <c r="B784" t="str">
        <f>"AM PLUS MM Q811B - SIKKENS"</f>
        <v>AM PLUS MM Q811B - SIKKENS</v>
      </c>
      <c r="C784">
        <v>75947.03</v>
      </c>
      <c r="D784">
        <v>91895.906300000002</v>
      </c>
    </row>
    <row r="785" spans="1:4" x14ac:dyDescent="0.25">
      <c r="A785" t="str">
        <f>"01030"</f>
        <v>01030</v>
      </c>
      <c r="B785" t="str">
        <f>"AM PLUS MM Q811E - SIKKENS"</f>
        <v>AM PLUS MM Q811E - SIKKENS</v>
      </c>
      <c r="C785">
        <v>289138.42</v>
      </c>
      <c r="D785">
        <v>349857.48819999996</v>
      </c>
    </row>
    <row r="786" spans="1:4" x14ac:dyDescent="0.25">
      <c r="A786" t="str">
        <f>"01031"</f>
        <v>01031</v>
      </c>
      <c r="B786" t="str">
        <f>"AM PLUS MM Q811J - SIKKENS"</f>
        <v>AM PLUS MM Q811J - SIKKENS</v>
      </c>
      <c r="C786">
        <v>405501.82</v>
      </c>
      <c r="D786">
        <v>490657.2022</v>
      </c>
    </row>
    <row r="787" spans="1:4" x14ac:dyDescent="0.25">
      <c r="A787" t="str">
        <f>"01032"</f>
        <v>01032</v>
      </c>
      <c r="B787" t="str">
        <f>"AM PLUS MM Q811M - SIKKENS"</f>
        <v>AM PLUS MM Q811M - SIKKENS</v>
      </c>
      <c r="C787">
        <v>149014.42000000001</v>
      </c>
      <c r="D787">
        <v>180307.44820000001</v>
      </c>
    </row>
    <row r="788" spans="1:4" x14ac:dyDescent="0.25">
      <c r="A788" t="str">
        <f>"01033"</f>
        <v>01033</v>
      </c>
      <c r="B788" t="str">
        <f>"AM PLUS MM Q811P - SIKKENS"</f>
        <v>AM PLUS MM Q811P - SIKKENS</v>
      </c>
      <c r="C788">
        <v>314239.61</v>
      </c>
      <c r="D788">
        <v>380229.92809999996</v>
      </c>
    </row>
    <row r="789" spans="1:4" x14ac:dyDescent="0.25">
      <c r="A789" t="str">
        <f>"01034"</f>
        <v>01034</v>
      </c>
      <c r="B789" t="str">
        <f>"AM PLUS MM Q811R - SIKKENS"</f>
        <v>AM PLUS MM Q811R - SIKKENS</v>
      </c>
      <c r="C789">
        <v>100982.66</v>
      </c>
      <c r="D789">
        <v>122189.0186</v>
      </c>
    </row>
    <row r="790" spans="1:4" x14ac:dyDescent="0.25">
      <c r="A790" t="str">
        <f>"01035"</f>
        <v>01035</v>
      </c>
      <c r="B790" t="str">
        <f>"AM PLUS MM Q843H - SIKKENS"</f>
        <v>AM PLUS MM Q843H - SIKKENS</v>
      </c>
      <c r="C790">
        <v>180471.66</v>
      </c>
      <c r="D790">
        <v>218370.70859999998</v>
      </c>
    </row>
    <row r="791" spans="1:4" x14ac:dyDescent="0.25">
      <c r="A791" t="str">
        <f>"01036"</f>
        <v>01036</v>
      </c>
      <c r="B791" t="str">
        <f>"AM PLUS MM Q911H - SIKKENS"</f>
        <v>AM PLUS MM Q911H - SIKKENS</v>
      </c>
      <c r="C791">
        <v>95869</v>
      </c>
      <c r="D791">
        <v>116001.48999999999</v>
      </c>
    </row>
    <row r="792" spans="1:4" x14ac:dyDescent="0.25">
      <c r="A792" t="str">
        <f>"01037"</f>
        <v>01037</v>
      </c>
      <c r="B792" t="str">
        <f>"AM PLUS MM Q911M - SIKKENS"</f>
        <v>AM PLUS MM Q911M - SIKKENS</v>
      </c>
      <c r="C792">
        <v>93216.29</v>
      </c>
      <c r="D792">
        <v>112791.71089999999</v>
      </c>
    </row>
    <row r="793" spans="1:4" x14ac:dyDescent="0.25">
      <c r="A793" t="str">
        <f>"01038"</f>
        <v>01038</v>
      </c>
      <c r="B793" t="str">
        <f>"AM PLUS MM Q914C - SIKKENS"</f>
        <v>AM PLUS MM Q914C - SIKKENS</v>
      </c>
      <c r="C793">
        <v>189064.09</v>
      </c>
      <c r="D793">
        <v>228767.54889999999</v>
      </c>
    </row>
    <row r="794" spans="1:4" x14ac:dyDescent="0.25">
      <c r="A794" t="str">
        <f>"01039"</f>
        <v>01039</v>
      </c>
      <c r="B794" t="str">
        <f>"AM PLUS MM Q914F - SIKKENS"</f>
        <v>AM PLUS MM Q914F - SIKKENS</v>
      </c>
      <c r="C794">
        <v>177818.45</v>
      </c>
      <c r="D794">
        <v>215160.32450000002</v>
      </c>
    </row>
    <row r="795" spans="1:4" x14ac:dyDescent="0.25">
      <c r="A795" t="str">
        <f>"01040"</f>
        <v>01040</v>
      </c>
      <c r="B795" t="str">
        <f>"AM PLUS MM Q922F - SIKKENS"</f>
        <v>AM PLUS MM Q922F - SIKKENS</v>
      </c>
      <c r="C795">
        <v>100774.49</v>
      </c>
      <c r="D795">
        <v>121937.1329</v>
      </c>
    </row>
    <row r="796" spans="1:4" x14ac:dyDescent="0.25">
      <c r="A796" t="str">
        <f>"01041"</f>
        <v>01041</v>
      </c>
      <c r="B796" t="str">
        <f>"AM PLUS MM Q922M - SIKKENS"</f>
        <v>AM PLUS MM Q922M - SIKKENS</v>
      </c>
      <c r="C796">
        <v>82653.78</v>
      </c>
      <c r="D796">
        <v>100011.0738</v>
      </c>
    </row>
    <row r="797" spans="1:4" x14ac:dyDescent="0.25">
      <c r="A797" t="str">
        <f>"01042"</f>
        <v>01042</v>
      </c>
      <c r="B797" t="str">
        <f>"AM PLUS MM Q923H - SIKKENS"</f>
        <v>AM PLUS MM Q923H - SIKKENS</v>
      </c>
      <c r="C797">
        <v>221893.62</v>
      </c>
      <c r="D797">
        <v>268491.28019999998</v>
      </c>
    </row>
    <row r="798" spans="1:4" x14ac:dyDescent="0.25">
      <c r="A798" t="str">
        <f>"01043"</f>
        <v>01043</v>
      </c>
      <c r="B798" t="str">
        <f>"AM PLUS MM Q925M - SIKKENS"</f>
        <v>AM PLUS MM Q925M - SIKKENS</v>
      </c>
      <c r="C798">
        <v>131615.57999999999</v>
      </c>
      <c r="D798">
        <v>159254.85179999997</v>
      </c>
    </row>
    <row r="799" spans="1:4" x14ac:dyDescent="0.25">
      <c r="A799" t="str">
        <f>"01044"</f>
        <v>01044</v>
      </c>
      <c r="B799" t="str">
        <f>"AM PLUS MM Q933F - SIKKENS"</f>
        <v>AM PLUS MM Q933F - SIKKENS</v>
      </c>
      <c r="C799">
        <v>208056.23</v>
      </c>
      <c r="D799">
        <v>251748.03830000001</v>
      </c>
    </row>
    <row r="800" spans="1:4" x14ac:dyDescent="0.25">
      <c r="A800" t="str">
        <f>"01045"</f>
        <v>01045</v>
      </c>
      <c r="B800" t="str">
        <f>"AM PLUS MM Q933M - SIKKENS"</f>
        <v>AM PLUS MM Q933M - SIKKENS</v>
      </c>
      <c r="C800">
        <v>140748.01</v>
      </c>
      <c r="D800">
        <v>170305.09210000001</v>
      </c>
    </row>
    <row r="801" spans="1:4" x14ac:dyDescent="0.25">
      <c r="A801" t="str">
        <f>"01046"</f>
        <v>01046</v>
      </c>
      <c r="B801" t="str">
        <f>"AM PLUS MM Q941F - SIKKENS"</f>
        <v>AM PLUS MM Q941F - SIKKENS</v>
      </c>
      <c r="C801">
        <v>197745.31</v>
      </c>
      <c r="D801">
        <v>239271.82509999999</v>
      </c>
    </row>
    <row r="802" spans="1:4" x14ac:dyDescent="0.25">
      <c r="A802" t="str">
        <f>"01047"</f>
        <v>01047</v>
      </c>
      <c r="B802" t="str">
        <f>"AM PLUS MM Q941H - SIKKENS"</f>
        <v>AM PLUS MM Q941H - SIKKENS</v>
      </c>
      <c r="C802">
        <v>197745.31</v>
      </c>
      <c r="D802">
        <v>239271.82509999999</v>
      </c>
    </row>
    <row r="803" spans="1:4" x14ac:dyDescent="0.25">
      <c r="A803" t="str">
        <f>"01048"</f>
        <v>01048</v>
      </c>
      <c r="B803" t="str">
        <f>"AM PLUS MM Q941M - SIKKENS"</f>
        <v>AM PLUS MM Q941M - SIKKENS</v>
      </c>
      <c r="C803">
        <v>133791.49</v>
      </c>
      <c r="D803">
        <v>161887.70289999997</v>
      </c>
    </row>
    <row r="804" spans="1:4" x14ac:dyDescent="0.25">
      <c r="A804" t="str">
        <f>"01049"</f>
        <v>01049</v>
      </c>
      <c r="B804" t="str">
        <f>"AM PLUS MM Q943M - SIKKENS"</f>
        <v>AM PLUS MM Q943M - SIKKENS</v>
      </c>
      <c r="C804">
        <v>171794.83</v>
      </c>
      <c r="D804">
        <v>207871.74429999999</v>
      </c>
    </row>
    <row r="805" spans="1:4" x14ac:dyDescent="0.25">
      <c r="A805" t="str">
        <f>"01050"</f>
        <v>01050</v>
      </c>
      <c r="B805" t="str">
        <f>"AM PLUS MM Q951F - SIKKENS"</f>
        <v>AM PLUS MM Q951F - SIKKENS</v>
      </c>
      <c r="C805">
        <v>197745.31</v>
      </c>
      <c r="D805">
        <v>239271.82509999999</v>
      </c>
    </row>
    <row r="806" spans="1:4" x14ac:dyDescent="0.25">
      <c r="A806" t="str">
        <f>"01051"</f>
        <v>01051</v>
      </c>
      <c r="B806" t="str">
        <f>"AM PLUS MM Q951H - SIKKENS"</f>
        <v>AM PLUS MM Q951H - SIKKENS</v>
      </c>
      <c r="C806">
        <v>189064.09</v>
      </c>
      <c r="D806">
        <v>228767.54889999999</v>
      </c>
    </row>
    <row r="807" spans="1:4" x14ac:dyDescent="0.25">
      <c r="A807" t="str">
        <f>"01052"</f>
        <v>01052</v>
      </c>
      <c r="B807" t="str">
        <f>"AM PLUS MM Q952N - SIKKENS"</f>
        <v>AM PLUS MM Q952N - SIKKENS</v>
      </c>
      <c r="C807">
        <v>160133.04</v>
      </c>
      <c r="D807">
        <v>193760.97839999999</v>
      </c>
    </row>
    <row r="808" spans="1:4" x14ac:dyDescent="0.25">
      <c r="A808" t="str">
        <f>"01053"</f>
        <v>01053</v>
      </c>
      <c r="B808" t="str">
        <f>"AM PLUS MM Q954G - SIKKENS"</f>
        <v>AM PLUS MM Q954G - SIKKENS</v>
      </c>
      <c r="C808">
        <v>189231.79</v>
      </c>
      <c r="D808">
        <v>228970.46590000001</v>
      </c>
    </row>
    <row r="809" spans="1:4" x14ac:dyDescent="0.25">
      <c r="A809" t="str">
        <f>"01054"</f>
        <v>01054</v>
      </c>
      <c r="B809" t="str">
        <f>"AM PLUS MM Q954M - SIKKENS"</f>
        <v>AM PLUS MM Q954M - SIKKENS</v>
      </c>
      <c r="C809">
        <v>136419.84</v>
      </c>
      <c r="D809">
        <v>165068.00639999998</v>
      </c>
    </row>
    <row r="810" spans="1:4" x14ac:dyDescent="0.25">
      <c r="A810" t="str">
        <f>"01055"</f>
        <v>01055</v>
      </c>
      <c r="B810" t="str">
        <f>"AM PLUS MM Q954S - SIKKENS"</f>
        <v>AM PLUS MM Q954S - SIKKENS</v>
      </c>
      <c r="C810">
        <v>136419.84</v>
      </c>
      <c r="D810">
        <v>165068.00639999998</v>
      </c>
    </row>
    <row r="811" spans="1:4" x14ac:dyDescent="0.25">
      <c r="A811" t="str">
        <f>"01056"</f>
        <v>01056</v>
      </c>
      <c r="B811" t="str">
        <f>"AM PLUS MM Q961H - SIKKENS"</f>
        <v>AM PLUS MM Q961H - SIKKENS</v>
      </c>
      <c r="C811">
        <v>189064.09</v>
      </c>
      <c r="D811">
        <v>228767.54889999999</v>
      </c>
    </row>
    <row r="812" spans="1:4" x14ac:dyDescent="0.25">
      <c r="A812" t="str">
        <f>"01057"</f>
        <v>01057</v>
      </c>
      <c r="B812" t="str">
        <f>"AM PLUS MM Q964H - SIKKENS"</f>
        <v>AM PLUS MM Q964H - SIKKENS</v>
      </c>
      <c r="C812">
        <v>114217.05</v>
      </c>
      <c r="D812">
        <v>138202.6305</v>
      </c>
    </row>
    <row r="813" spans="1:4" x14ac:dyDescent="0.25">
      <c r="A813" t="str">
        <f>"01058"</f>
        <v>01058</v>
      </c>
      <c r="B813" t="str">
        <f>"AM PLUS MM Q964R - SIKKENS"</f>
        <v>AM PLUS MM Q964R - SIKKENS</v>
      </c>
      <c r="C813">
        <v>116455.76</v>
      </c>
      <c r="D813">
        <v>140911.46959999998</v>
      </c>
    </row>
    <row r="814" spans="1:4" x14ac:dyDescent="0.25">
      <c r="A814" t="str">
        <f>"01059"</f>
        <v>01059</v>
      </c>
      <c r="B814" t="str">
        <f>"AM PLUS MM Q975S - SIKKENS"</f>
        <v>AM PLUS MM Q975S - SIKKENS</v>
      </c>
      <c r="C814">
        <v>102868.95</v>
      </c>
      <c r="D814">
        <v>124471.4295</v>
      </c>
    </row>
    <row r="815" spans="1:4" x14ac:dyDescent="0.25">
      <c r="A815" t="str">
        <f>"01060"</f>
        <v>01060</v>
      </c>
      <c r="B815" t="str">
        <f>"AM PLUS REDUCER MEDIUM 1 LT - SIKKENS"</f>
        <v>AM PLUS REDUCER MEDIUM 1 LT - SIKKENS</v>
      </c>
      <c r="C815">
        <v>14725.74</v>
      </c>
      <c r="D815">
        <v>17818.145399999998</v>
      </c>
    </row>
    <row r="816" spans="1:4" x14ac:dyDescent="0.25">
      <c r="A816" t="str">
        <f>"01061"</f>
        <v>01061</v>
      </c>
      <c r="B816" t="str">
        <f>"AM PLUS REDUCER MEDIUM 200 LT - SIKKENS"</f>
        <v>AM PLUS REDUCER MEDIUM 200 LT - SIKKENS</v>
      </c>
      <c r="C816">
        <v>2459558.9</v>
      </c>
      <c r="D816">
        <v>2976066.2689999999</v>
      </c>
    </row>
    <row r="817" spans="1:4" x14ac:dyDescent="0.25">
      <c r="A817" t="str">
        <f>"01062"</f>
        <v>01062</v>
      </c>
      <c r="B817" t="str">
        <f>"AM PLUS REDUCER MEDIUM 5 LT - SIKKENS"</f>
        <v>AM PLUS REDUCER MEDIUM 5 LT - SIKKENS</v>
      </c>
      <c r="C817">
        <v>60973.56</v>
      </c>
      <c r="D817">
        <v>73778.007599999997</v>
      </c>
    </row>
    <row r="818" spans="1:4" x14ac:dyDescent="0.25">
      <c r="A818" t="str">
        <f>"01063"</f>
        <v>01063</v>
      </c>
      <c r="B818" t="str">
        <f>"AM PLUS REDUCER SLOW 5 LT - SIKKENS"</f>
        <v>AM PLUS REDUCER SLOW 5 LT - SIKKENS</v>
      </c>
      <c r="C818">
        <v>83068.7</v>
      </c>
      <c r="D818">
        <v>100513.12699999999</v>
      </c>
    </row>
    <row r="819" spans="1:4" x14ac:dyDescent="0.25">
      <c r="A819" t="str">
        <f>"01064"</f>
        <v>01064</v>
      </c>
      <c r="B819" t="str">
        <f>"ANTISILICON - SIKKENS"</f>
        <v>ANTISILICON - SIKKENS</v>
      </c>
      <c r="C819">
        <v>26491.81</v>
      </c>
      <c r="D819">
        <v>32055.090100000001</v>
      </c>
    </row>
    <row r="820" spans="1:4" x14ac:dyDescent="0.25">
      <c r="A820" t="str">
        <f>"01065"</f>
        <v>01065</v>
      </c>
      <c r="B820" t="str">
        <f>"AUTOCLEAR MAT 1L - SIKKENS"</f>
        <v>AUTOCLEAR MAT 1L - SIKKENS</v>
      </c>
      <c r="C820">
        <v>37217.129999999997</v>
      </c>
      <c r="D820">
        <v>45032.727299999999</v>
      </c>
    </row>
    <row r="821" spans="1:4" x14ac:dyDescent="0.25">
      <c r="A821" t="str">
        <f>"01066"</f>
        <v>01066</v>
      </c>
      <c r="B821" t="str">
        <f>"AUTOCLEAR PLUS HS  5L - SIKKENS"</f>
        <v>AUTOCLEAR PLUS HS  5L - SIKKENS</v>
      </c>
      <c r="C821">
        <v>135622.89000000001</v>
      </c>
      <c r="D821">
        <v>164103.69690000001</v>
      </c>
    </row>
    <row r="822" spans="1:4" x14ac:dyDescent="0.25">
      <c r="A822" t="str">
        <f>"01067"</f>
        <v>01067</v>
      </c>
      <c r="B822" t="str">
        <f>"AUTOCLEAR PLUS HS SUELTO - SIKKENS"</f>
        <v>AUTOCLEAR PLUS HS SUELTO - SIKKENS</v>
      </c>
      <c r="C822">
        <v>0</v>
      </c>
      <c r="D822">
        <v>0</v>
      </c>
    </row>
    <row r="823" spans="1:4" x14ac:dyDescent="0.25">
      <c r="A823" t="str">
        <f>"01071"</f>
        <v>01071</v>
      </c>
      <c r="B823" t="str">
        <f>"AUTOCRYL ENDURECEDOR P25 X 0.5L - SIKKENS"</f>
        <v>AUTOCRYL ENDURECEDOR P25 X 0.5L - SIKKENS</v>
      </c>
      <c r="C823">
        <v>22638.74</v>
      </c>
      <c r="D823">
        <v>27392.875400000001</v>
      </c>
    </row>
    <row r="824" spans="1:4" x14ac:dyDescent="0.25">
      <c r="A824" t="str">
        <f>"01072"</f>
        <v>01072</v>
      </c>
      <c r="B824" t="str">
        <f>"AUTOCRYL ENDURECEDOR P25 X 1L - SIKKENS"</f>
        <v>AUTOCRYL ENDURECEDOR P25 X 1L - SIKKENS</v>
      </c>
      <c r="C824">
        <v>41977.21</v>
      </c>
      <c r="D824">
        <v>50792.424099999997</v>
      </c>
    </row>
    <row r="825" spans="1:4" x14ac:dyDescent="0.25">
      <c r="A825" t="str">
        <f>"01073"</f>
        <v>01073</v>
      </c>
      <c r="B825" t="str">
        <f>"AUTOCRYL ENDURECEDOR P25 X 5L- SIKKENS"</f>
        <v>AUTOCRYL ENDURECEDOR P25 X 5L- SIKKENS</v>
      </c>
      <c r="C825">
        <v>187148.3</v>
      </c>
      <c r="D825">
        <v>226449.44299999997</v>
      </c>
    </row>
    <row r="826" spans="1:4" x14ac:dyDescent="0.25">
      <c r="A826" t="str">
        <f>"01074"</f>
        <v>01074</v>
      </c>
      <c r="B826" t="str">
        <f>"AUTOCRYL ENDURECEDOR P35 X 1L - SIKKENS"</f>
        <v>AUTOCRYL ENDURECEDOR P35 X 1L - SIKKENS</v>
      </c>
      <c r="C826">
        <v>53723.55</v>
      </c>
      <c r="D826">
        <v>65005.495500000005</v>
      </c>
    </row>
    <row r="827" spans="1:4" x14ac:dyDescent="0.25">
      <c r="A827" t="str">
        <f>"01081"</f>
        <v>01081</v>
      </c>
      <c r="B827" t="str">
        <f>"AUTOWAVE MM 00 - SIKKENS"</f>
        <v>AUTOWAVE MM 00 - SIKKENS</v>
      </c>
      <c r="C827">
        <v>61062.97</v>
      </c>
      <c r="D827">
        <v>73886.193700000003</v>
      </c>
    </row>
    <row r="828" spans="1:4" x14ac:dyDescent="0.25">
      <c r="A828" t="str">
        <f>"01116"</f>
        <v>01116</v>
      </c>
      <c r="B828" t="str">
        <f>"AUTOWAVE MM 400 - SIKKENS"</f>
        <v>AUTOWAVE MM 400 - SIKKENS</v>
      </c>
      <c r="C828">
        <v>56375.95</v>
      </c>
      <c r="D828">
        <v>68214.8995</v>
      </c>
    </row>
    <row r="829" spans="1:4" x14ac:dyDescent="0.25">
      <c r="A829" t="str">
        <f>"01127"</f>
        <v>01127</v>
      </c>
      <c r="B829" t="str">
        <f>"AUTOWAVE MM 744 - SIKKENS"</f>
        <v>AUTOWAVE MM 744 - SIKKENS</v>
      </c>
      <c r="C829">
        <v>57986.78</v>
      </c>
      <c r="D829">
        <v>70164.003799999991</v>
      </c>
    </row>
    <row r="830" spans="1:4" x14ac:dyDescent="0.25">
      <c r="A830" t="str">
        <f>"01128"</f>
        <v>01128</v>
      </c>
      <c r="B830" t="str">
        <f>"AUTOWAVE MM 777 - SIKKENS"</f>
        <v>AUTOWAVE MM 777 - SIKKENS</v>
      </c>
      <c r="C830">
        <v>45207.78</v>
      </c>
      <c r="D830">
        <v>54701.413799999995</v>
      </c>
    </row>
    <row r="831" spans="1:4" x14ac:dyDescent="0.25">
      <c r="A831" t="str">
        <f>"01140"</f>
        <v>01140</v>
      </c>
      <c r="B831" t="str">
        <f>"AUTOWAVE MM 980 - SIKKENS"</f>
        <v>AUTOWAVE MM 980 - SIKKENS</v>
      </c>
      <c r="C831">
        <v>67103.820000000007</v>
      </c>
      <c r="D831">
        <v>81195.622200000013</v>
      </c>
    </row>
    <row r="832" spans="1:4" x14ac:dyDescent="0.25">
      <c r="A832" t="str">
        <f>"01142"</f>
        <v>01142</v>
      </c>
      <c r="B832" t="str">
        <f>"BASEFIX - SIKKENS"</f>
        <v>BASEFIX - SIKKENS</v>
      </c>
      <c r="C832">
        <v>26491.81</v>
      </c>
      <c r="D832">
        <v>32055.090100000001</v>
      </c>
    </row>
    <row r="833" spans="1:4" x14ac:dyDescent="0.25">
      <c r="A833" t="str">
        <f>"01150"</f>
        <v>01150</v>
      </c>
      <c r="B833" t="str">
        <f>"BICAPA DE SIKKENS - AZUL / CELESTE"</f>
        <v>BICAPA DE SIKKENS - AZUL / CELESTE</v>
      </c>
      <c r="C833">
        <v>83101.69</v>
      </c>
      <c r="D833">
        <v>100553.04489999999</v>
      </c>
    </row>
    <row r="834" spans="1:4" x14ac:dyDescent="0.25">
      <c r="A834" t="str">
        <f>"01151"</f>
        <v>01151</v>
      </c>
      <c r="B834" t="str">
        <f>"BT 100 MM 00- FOSQUEANTE  - SIKKENS"</f>
        <v>BT 100 MM 00- FOSQUEANTE  - SIKKENS</v>
      </c>
      <c r="C834">
        <v>131882.98000000001</v>
      </c>
      <c r="D834">
        <v>159578.40580000001</v>
      </c>
    </row>
    <row r="835" spans="1:4" x14ac:dyDescent="0.25">
      <c r="A835" t="str">
        <f>"01152"</f>
        <v>01152</v>
      </c>
      <c r="B835" t="str">
        <f>"BT 100 MM 05 -BINDER  - SIKKENS"</f>
        <v>BT 100 MM 05 -BINDER  - SIKKENS</v>
      </c>
      <c r="C835">
        <v>115917.39</v>
      </c>
      <c r="D835">
        <v>140260.04189999998</v>
      </c>
    </row>
    <row r="836" spans="1:4" x14ac:dyDescent="0.25">
      <c r="A836" t="str">
        <f>"01153"</f>
        <v>01153</v>
      </c>
      <c r="B836" t="str">
        <f>"BT 100 MM 10- BLANCO  - SIKKENS"</f>
        <v>BT 100 MM 10- BLANCO  - SIKKENS</v>
      </c>
      <c r="C836">
        <v>140707.23000000001</v>
      </c>
      <c r="D836">
        <v>170255.74830000001</v>
      </c>
    </row>
    <row r="837" spans="1:4" x14ac:dyDescent="0.25">
      <c r="A837" t="str">
        <f>"01154"</f>
        <v>01154</v>
      </c>
      <c r="B837" t="str">
        <f>"BT 100 MM 15- NEGRO  - SIKKENS"</f>
        <v>BT 100 MM 15- NEGRO  - SIKKENS</v>
      </c>
      <c r="C837">
        <v>148702.37</v>
      </c>
      <c r="D837">
        <v>179929.8677</v>
      </c>
    </row>
    <row r="838" spans="1:4" x14ac:dyDescent="0.25">
      <c r="A838" t="str">
        <f>"01155"</f>
        <v>01155</v>
      </c>
      <c r="B838" t="str">
        <f>"BT 100 MM 16 - NEGRO PROFUNDO - SIKKENS"</f>
        <v>BT 100 MM 16 - NEGRO PROFUNDO - SIKKENS</v>
      </c>
      <c r="C838">
        <v>236802.76</v>
      </c>
      <c r="D838">
        <v>286531.33960000001</v>
      </c>
    </row>
    <row r="839" spans="1:4" x14ac:dyDescent="0.25">
      <c r="A839" t="str">
        <f>"01156"</f>
        <v>01156</v>
      </c>
      <c r="B839" t="str">
        <f>"BT 100 MM 19- NEGRO - SIKKENS"</f>
        <v>BT 100 MM 19- NEGRO - SIKKENS</v>
      </c>
      <c r="C839">
        <v>213481.94</v>
      </c>
      <c r="D839">
        <v>258313.14739999999</v>
      </c>
    </row>
    <row r="840" spans="1:4" x14ac:dyDescent="0.25">
      <c r="A840" t="str">
        <f>"01157"</f>
        <v>01157</v>
      </c>
      <c r="B840" t="str">
        <f>"BT 100 MM 23- ROJO OXIDO  - SIKKENS"</f>
        <v>BT 100 MM 23- ROJO OXIDO  - SIKKENS</v>
      </c>
      <c r="C840">
        <v>242086.15</v>
      </c>
      <c r="D840">
        <v>292924.2415</v>
      </c>
    </row>
    <row r="841" spans="1:4" x14ac:dyDescent="0.25">
      <c r="A841" t="str">
        <f>"01158"</f>
        <v>01158</v>
      </c>
      <c r="B841" t="str">
        <f>"BT 100 MM 28 - ROJO LIMPIO - SIKKENS"</f>
        <v>BT 100 MM 28 - ROJO LIMPIO - SIKKENS</v>
      </c>
      <c r="C841">
        <v>171916.35</v>
      </c>
      <c r="D841">
        <v>208018.78349999999</v>
      </c>
    </row>
    <row r="842" spans="1:4" x14ac:dyDescent="0.25">
      <c r="A842" t="str">
        <f>"01159"</f>
        <v>01159</v>
      </c>
      <c r="B842" t="str">
        <f>"BT 100 MM 34 - NARANJA  - SIKKENS"</f>
        <v>BT 100 MM 34 - NARANJA  - SIKKENS</v>
      </c>
      <c r="C842">
        <v>349073.98</v>
      </c>
      <c r="D842">
        <v>422379.51579999999</v>
      </c>
    </row>
    <row r="843" spans="1:4" x14ac:dyDescent="0.25">
      <c r="A843" t="str">
        <f>"01160"</f>
        <v>01160</v>
      </c>
      <c r="B843" t="str">
        <f>"BT 100 MM 40 - AMARILLO CLARO (LIMPIO) - SIKKENS"</f>
        <v>BT 100 MM 40 - AMARILLO CLARO (LIMPIO) - SIKKENS</v>
      </c>
      <c r="C843">
        <v>342841.07</v>
      </c>
      <c r="D843">
        <v>414837.69469999999</v>
      </c>
    </row>
    <row r="844" spans="1:4" x14ac:dyDescent="0.25">
      <c r="A844" t="str">
        <f>"01161"</f>
        <v>01161</v>
      </c>
      <c r="B844" t="str">
        <f>"BT 100 MM 42- AMARILLO OXIDO  - SIKKENS"</f>
        <v>BT 100 MM 42- AMARILLO OXIDO  - SIKKENS</v>
      </c>
      <c r="C844">
        <v>153507.44</v>
      </c>
      <c r="D844">
        <v>185744.0024</v>
      </c>
    </row>
    <row r="845" spans="1:4" x14ac:dyDescent="0.25">
      <c r="A845" t="str">
        <f>"01162"</f>
        <v>01162</v>
      </c>
      <c r="B845" t="str">
        <f>"BT 100 MM 43 - AMARILLO ROJIZO - SIKKENS"</f>
        <v>BT 100 MM 43 - AMARILLO ROJIZO - SIKKENS</v>
      </c>
      <c r="C845">
        <v>403668.85</v>
      </c>
      <c r="D845">
        <v>488439.30849999998</v>
      </c>
    </row>
    <row r="846" spans="1:4" x14ac:dyDescent="0.25">
      <c r="A846" t="str">
        <f>"01163"</f>
        <v>01163</v>
      </c>
      <c r="B846" t="str">
        <f>"BT 100 MM 45 - AMARILLO BRILLANTE - SIKKENS"</f>
        <v>BT 100 MM 45 - AMARILLO BRILLANTE - SIKKENS</v>
      </c>
      <c r="C846">
        <v>409466.26</v>
      </c>
      <c r="D846">
        <v>495454.17459999997</v>
      </c>
    </row>
    <row r="847" spans="1:4" x14ac:dyDescent="0.25">
      <c r="A847" t="str">
        <f>"01164"</f>
        <v>01164</v>
      </c>
      <c r="B847" t="str">
        <f>"BT 100 MM 56- VERDE  - SIKKENS"</f>
        <v>BT 100 MM 56- VERDE  - SIKKENS</v>
      </c>
      <c r="C847">
        <v>172684.09</v>
      </c>
      <c r="D847">
        <v>208947.74889999998</v>
      </c>
    </row>
    <row r="848" spans="1:4" x14ac:dyDescent="0.25">
      <c r="A848" t="str">
        <f>"01165"</f>
        <v>01165</v>
      </c>
      <c r="B848" t="str">
        <f>"BT 100 MM 61- AZUL ROJIZO II - SIKKENS"</f>
        <v>BT 100 MM 61- AZUL ROJIZO II - SIKKENS</v>
      </c>
      <c r="C848">
        <v>183122.64</v>
      </c>
      <c r="D848">
        <v>221578.39440000002</v>
      </c>
    </row>
    <row r="849" spans="1:4" x14ac:dyDescent="0.25">
      <c r="A849" t="str">
        <f>"01166"</f>
        <v>01166</v>
      </c>
      <c r="B849" t="str">
        <f>"BT 100 MM 65- AZUL  - SIKKENS"</f>
        <v>BT 100 MM 65- AZUL  - SIKKENS</v>
      </c>
      <c r="C849">
        <v>180656.39</v>
      </c>
      <c r="D849">
        <v>218594.23190000001</v>
      </c>
    </row>
    <row r="850" spans="1:4" x14ac:dyDescent="0.25">
      <c r="A850" t="str">
        <f>"01167"</f>
        <v>01167</v>
      </c>
      <c r="B850" t="str">
        <f>"BT 100 MM 71- ROSA   - SIKKENS"</f>
        <v>BT 100 MM 71- ROSA   - SIKKENS</v>
      </c>
      <c r="C850">
        <v>270977.84999999998</v>
      </c>
      <c r="D850">
        <v>327883.19849999994</v>
      </c>
    </row>
    <row r="851" spans="1:4" x14ac:dyDescent="0.25">
      <c r="A851" t="str">
        <f>"01168"</f>
        <v>01168</v>
      </c>
      <c r="B851" t="str">
        <f>"BT 100 MM 72- VIOLETA ROJIZO - SIKKENS"</f>
        <v>BT 100 MM 72- VIOLETA ROJIZO - SIKKENS</v>
      </c>
      <c r="C851">
        <v>345368.08</v>
      </c>
      <c r="D851">
        <v>417895.37680000003</v>
      </c>
    </row>
    <row r="852" spans="1:4" x14ac:dyDescent="0.25">
      <c r="A852" t="str">
        <f>"01169"</f>
        <v>01169</v>
      </c>
      <c r="B852" t="str">
        <f>"BT 100 MM 76- VIOLETA  - SIKKENS"</f>
        <v>BT 100 MM 76- VIOLETA  - SIKKENS</v>
      </c>
      <c r="C852">
        <v>326937.56</v>
      </c>
      <c r="D852">
        <v>395594.44760000001</v>
      </c>
    </row>
    <row r="853" spans="1:4" x14ac:dyDescent="0.25">
      <c r="A853" t="str">
        <f>"01170"</f>
        <v>01170</v>
      </c>
      <c r="B853" t="str">
        <f>"BT 100 MM 81- ALUMINIO FINO  - SIKKENS"</f>
        <v>BT 100 MM 81- ALUMINIO FINO  - SIKKENS</v>
      </c>
      <c r="C853">
        <v>175045.44</v>
      </c>
      <c r="D853">
        <v>211804.98240000001</v>
      </c>
    </row>
    <row r="854" spans="1:4" x14ac:dyDescent="0.25">
      <c r="A854" t="str">
        <f>"01171"</f>
        <v>01171</v>
      </c>
      <c r="B854" t="str">
        <f>"BT 100 MM 83- ALUMINIO MEDIO  - SIKKENS"</f>
        <v>BT 100 MM 83- ALUMINIO MEDIO  - SIKKENS</v>
      </c>
      <c r="C854">
        <v>179044.33</v>
      </c>
      <c r="D854">
        <v>216643.63929999998</v>
      </c>
    </row>
    <row r="855" spans="1:4" x14ac:dyDescent="0.25">
      <c r="A855" t="str">
        <f>"01172"</f>
        <v>01172</v>
      </c>
      <c r="B855" t="str">
        <f>"BT 100 MM 85- ALUMINIO GRUESO - SIKKENS"</f>
        <v>BT 100 MM 85- ALUMINIO GRUESO - SIKKENS</v>
      </c>
      <c r="C855">
        <v>211828.19</v>
      </c>
      <c r="D855">
        <v>256312.10989999998</v>
      </c>
    </row>
    <row r="856" spans="1:4" x14ac:dyDescent="0.25">
      <c r="A856" t="str">
        <f>"01180"</f>
        <v>01180</v>
      </c>
      <c r="B856" t="str">
        <f>"BT TECHFLEET MM 7000 SA 18L  (BINDER BRILHANTE PU) - SIKKENS"</f>
        <v>BT TECHFLEET MM 7000 SA 18L  (BINDER BRILHANTE PU) - SIKKENS</v>
      </c>
      <c r="C856">
        <v>192779.68</v>
      </c>
      <c r="D856">
        <v>233263.41279999999</v>
      </c>
    </row>
    <row r="857" spans="1:4" x14ac:dyDescent="0.25">
      <c r="A857" t="str">
        <f>"01184"</f>
        <v>01184</v>
      </c>
      <c r="B857" t="str">
        <f>"BT TECHFLEET MM 7220 SA 3.6L (VERMELHO LIMPO) - SIKKENS"</f>
        <v>BT TECHFLEET MM 7220 SA 3.6L (VERMELHO LIMPO) - SIKKENS</v>
      </c>
      <c r="C857">
        <v>84457.08</v>
      </c>
      <c r="D857">
        <v>102193.0668</v>
      </c>
    </row>
    <row r="858" spans="1:4" x14ac:dyDescent="0.25">
      <c r="A858" t="str">
        <f>"01190"</f>
        <v>01190</v>
      </c>
      <c r="B858" t="str">
        <f>"BT TECHFLEET MM 7500 SA 3.6L (VERDE) - SIKKENS"</f>
        <v>BT TECHFLEET MM 7500 SA 3.6L (VERDE) - SIKKENS</v>
      </c>
      <c r="C858">
        <v>140811.62</v>
      </c>
      <c r="D858">
        <v>170382.06019999998</v>
      </c>
    </row>
    <row r="859" spans="1:4" x14ac:dyDescent="0.25">
      <c r="A859" t="str">
        <f>"01193"</f>
        <v>01193</v>
      </c>
      <c r="B859" t="str">
        <f>"BT TECHFLEET MM 7730 SA 3.6L (ROSA) - SIKKENS"</f>
        <v>BT TECHFLEET MM 7730 SA 3.6L (ROSA) - SIKKENS</v>
      </c>
      <c r="C859">
        <v>225641.42</v>
      </c>
      <c r="D859">
        <v>273026.11820000003</v>
      </c>
    </row>
    <row r="860" spans="1:4" x14ac:dyDescent="0.25">
      <c r="A860" t="str">
        <f>"01194"</f>
        <v>01194</v>
      </c>
      <c r="B860" t="str">
        <f>"BT TECHFLEET MM 7750 SA 3.6L (VIOLETA) - SIKKENS"</f>
        <v>BT TECHFLEET MM 7750 SA 3.6L (VIOLETA) - SIKKENS</v>
      </c>
      <c r="C860">
        <v>203438.94</v>
      </c>
      <c r="D860">
        <v>246161.11739999999</v>
      </c>
    </row>
    <row r="861" spans="1:4" x14ac:dyDescent="0.25">
      <c r="A861" t="str">
        <f>"01196"</f>
        <v>01196</v>
      </c>
      <c r="B861" t="str">
        <f>"BT TECHFLEET MM 7800 SA 3.6L (PRETO) - SIKKENS"</f>
        <v>BT TECHFLEET MM 7800 SA 3.6L (PRETO) - SIKKENS</v>
      </c>
      <c r="C861">
        <v>91911.7</v>
      </c>
      <c r="D861">
        <v>111213.15699999999</v>
      </c>
    </row>
    <row r="862" spans="1:4" x14ac:dyDescent="0.25">
      <c r="A862" t="str">
        <f>"01200"</f>
        <v>01200</v>
      </c>
      <c r="B862" t="str">
        <f>"ENDURECEDOR PRIMER SURFACER EP II - SIKKENS"</f>
        <v>ENDURECEDOR PRIMER SURFACER EP II - SIKKENS</v>
      </c>
      <c r="C862">
        <v>51922.080000000002</v>
      </c>
      <c r="D862">
        <v>62825.716800000002</v>
      </c>
    </row>
    <row r="863" spans="1:4" x14ac:dyDescent="0.25">
      <c r="A863" t="str">
        <f>"01201"</f>
        <v>01201</v>
      </c>
      <c r="B863" t="str">
        <f>"ENDURECEDOR PRIMER SURFACER EP II (NUEVO) - SIKKENS"</f>
        <v>ENDURECEDOR PRIMER SURFACER EP II (NUEVO) - SIKKENS</v>
      </c>
      <c r="C863">
        <v>29887.19</v>
      </c>
      <c r="D863">
        <v>36163.499899999995</v>
      </c>
    </row>
    <row r="864" spans="1:4" x14ac:dyDescent="0.25">
      <c r="A864" t="str">
        <f>"01202"</f>
        <v>01202</v>
      </c>
      <c r="B864" t="str">
        <f>"KOMBI FILLER - SIKKENS"</f>
        <v>KOMBI FILLER - SIKKENS</v>
      </c>
      <c r="C864">
        <v>9899.36</v>
      </c>
      <c r="D864">
        <v>11978.2256</v>
      </c>
    </row>
    <row r="865" spans="1:4" x14ac:dyDescent="0.25">
      <c r="A865" t="str">
        <f>"01204"</f>
        <v>01204</v>
      </c>
      <c r="B865" t="str">
        <f>"MULTIUSE FILLER HS X 1L DARK GREY - SIKKENS"</f>
        <v>MULTIUSE FILLER HS X 1L DARK GREY - SIKKENS</v>
      </c>
      <c r="C865">
        <v>29499.77</v>
      </c>
      <c r="D865">
        <v>35694.721700000002</v>
      </c>
    </row>
    <row r="866" spans="1:4" x14ac:dyDescent="0.25">
      <c r="A866" t="str">
        <f>"01205"</f>
        <v>01205</v>
      </c>
      <c r="B866" t="str">
        <f>"MULTIUSE FILLER HS X 3L- SIKKENS"</f>
        <v>MULTIUSE FILLER HS X 3L- SIKKENS</v>
      </c>
      <c r="C866">
        <v>79179.33</v>
      </c>
      <c r="D866">
        <v>95806.989300000001</v>
      </c>
    </row>
    <row r="867" spans="1:4" x14ac:dyDescent="0.25">
      <c r="A867" t="str">
        <f>"01214"</f>
        <v>01214</v>
      </c>
      <c r="B867" t="str">
        <f>"POLYFIBER - SIKKENS"</f>
        <v>POLYFIBER - SIKKENS</v>
      </c>
      <c r="C867">
        <v>45875.21</v>
      </c>
      <c r="D867">
        <v>55509.004099999998</v>
      </c>
    </row>
    <row r="868" spans="1:4" x14ac:dyDescent="0.25">
      <c r="A868" t="str">
        <f>"01215"</f>
        <v>01215</v>
      </c>
      <c r="B868" t="str">
        <f>"POLYKIT CLASSIC SET - SIKKENS"</f>
        <v>POLYKIT CLASSIC SET - SIKKENS</v>
      </c>
      <c r="C868">
        <v>36744.160000000003</v>
      </c>
      <c r="D868">
        <v>44460.433600000004</v>
      </c>
    </row>
    <row r="869" spans="1:4" x14ac:dyDescent="0.25">
      <c r="A869" t="str">
        <f>"01216"</f>
        <v>01216</v>
      </c>
      <c r="B869" t="str">
        <f>"POLYSOFT PLASTIC SET - SIKKENS"</f>
        <v>POLYSOFT PLASTIC SET - SIKKENS</v>
      </c>
      <c r="C869">
        <v>53535.76</v>
      </c>
      <c r="D869">
        <v>64778.2696</v>
      </c>
    </row>
    <row r="870" spans="1:4" x14ac:dyDescent="0.25">
      <c r="A870" t="str">
        <f>"01217"</f>
        <v>01217</v>
      </c>
      <c r="B870" t="str">
        <f>"POLYSTOP LP SET (POLYSTOP+CAT) - SIKKENS"</f>
        <v>POLYSTOP LP SET (POLYSTOP+CAT) - SIKKENS</v>
      </c>
      <c r="C870">
        <v>33011.29</v>
      </c>
      <c r="D870">
        <v>39943.660900000003</v>
      </c>
    </row>
    <row r="871" spans="1:4" x14ac:dyDescent="0.25">
      <c r="A871" t="str">
        <f>"01218"</f>
        <v>01218</v>
      </c>
      <c r="B871" t="str">
        <f>"PRIMER SURFACER EP II - SIKKENS"</f>
        <v>PRIMER SURFACER EP II - SIKKENS</v>
      </c>
      <c r="C871">
        <v>54529.93</v>
      </c>
      <c r="D871">
        <v>65981.215299999996</v>
      </c>
    </row>
    <row r="872" spans="1:4" x14ac:dyDescent="0.25">
      <c r="A872" t="str">
        <f>"01219"</f>
        <v>01219</v>
      </c>
      <c r="B872" t="str">
        <f>"PRIMING FILLER 680 1L - SIKKENS"</f>
        <v>PRIMING FILLER 680 1L - SIKKENS</v>
      </c>
      <c r="C872">
        <v>24853.15</v>
      </c>
      <c r="D872">
        <v>30072.3115</v>
      </c>
    </row>
    <row r="873" spans="1:4" x14ac:dyDescent="0.25">
      <c r="A873" t="str">
        <f>"01220"</f>
        <v>01220</v>
      </c>
      <c r="B873" t="str">
        <f>"PRIMING FILLER 680 3L - SIKKENS"</f>
        <v>PRIMING FILLER 680 3L - SIKKENS</v>
      </c>
      <c r="C873">
        <v>69382.59</v>
      </c>
      <c r="D873">
        <v>83952.933899999989</v>
      </c>
    </row>
    <row r="874" spans="1:4" x14ac:dyDescent="0.25">
      <c r="A874" t="str">
        <f>"01221"</f>
        <v>01221</v>
      </c>
      <c r="B874" t="str">
        <f>"REGLA MEDIDORA - SIKKENS"</f>
        <v>REGLA MEDIDORA - SIKKENS</v>
      </c>
      <c r="C874">
        <v>0</v>
      </c>
      <c r="D874">
        <v>0</v>
      </c>
    </row>
    <row r="875" spans="1:4" x14ac:dyDescent="0.25">
      <c r="A875" t="str">
        <f>"01222"</f>
        <v>01222</v>
      </c>
      <c r="B875" t="str">
        <f>"RRA - RAPID REPAIR AGENT  - SIKKENS"</f>
        <v>RRA - RAPID REPAIR AGENT  - SIKKENS</v>
      </c>
      <c r="C875">
        <v>20711.330000000002</v>
      </c>
      <c r="D875">
        <v>25060.709300000002</v>
      </c>
    </row>
    <row r="876" spans="1:4" x14ac:dyDescent="0.25">
      <c r="A876" t="str">
        <f>"01223"</f>
        <v>01223</v>
      </c>
      <c r="B876" t="str">
        <f>"SEALER PLUS X 1 - SIKKENS"</f>
        <v>SEALER PLUS X 1 - SIKKENS</v>
      </c>
      <c r="C876">
        <v>48029.41</v>
      </c>
      <c r="D876">
        <v>58115.5861</v>
      </c>
    </row>
    <row r="877" spans="1:4" x14ac:dyDescent="0.25">
      <c r="A877" t="str">
        <f>"01224"</f>
        <v>01224</v>
      </c>
      <c r="B877" t="str">
        <f>"AM PLUS MM Q680 WE (NUEVO) - SIKKENS"</f>
        <v>AM PLUS MM Q680 WE (NUEVO) - SIKKENS</v>
      </c>
      <c r="C877">
        <v>177179.76</v>
      </c>
      <c r="D877">
        <v>214387.50960000002</v>
      </c>
    </row>
    <row r="878" spans="1:4" x14ac:dyDescent="0.25">
      <c r="A878" t="str">
        <f>"01225"</f>
        <v>01225</v>
      </c>
      <c r="B878" t="str">
        <f>"SIK ACLEAR LV EXCLUSIVE EU 5L - SIKKENS"</f>
        <v>SIK ACLEAR LV EXCLUSIVE EU 5L - SIKKENS</v>
      </c>
      <c r="C878">
        <v>180201.31</v>
      </c>
      <c r="D878">
        <v>218043.5851</v>
      </c>
    </row>
    <row r="879" spans="1:4" x14ac:dyDescent="0.25">
      <c r="A879" t="str">
        <f>"01226"</f>
        <v>01226</v>
      </c>
      <c r="B879" t="str">
        <f>"SIK ACLEAR LV EXCLUSIVE END WE 2.5L - SIKKENS"</f>
        <v>SIK ACLEAR LV EXCLUSIVE END WE 2.5L - SIKKENS</v>
      </c>
      <c r="C879">
        <v>159263.85999999999</v>
      </c>
      <c r="D879">
        <v>192709.27059999999</v>
      </c>
    </row>
    <row r="880" spans="1:4" x14ac:dyDescent="0.25">
      <c r="A880" t="str">
        <f>"01227"</f>
        <v>01227</v>
      </c>
      <c r="B880" t="str">
        <f>"SIK ACLEAR LV EXCLUSIVE REDUC WE 1L - SIKKENS"</f>
        <v>SIK ACLEAR LV EXCLUSIVE REDUC WE 1L - SIKKENS</v>
      </c>
      <c r="C880">
        <v>25370.22</v>
      </c>
      <c r="D880">
        <v>30697.966199999999</v>
      </c>
    </row>
    <row r="881" spans="1:4" x14ac:dyDescent="0.25">
      <c r="A881" t="str">
        <f>"01228"</f>
        <v>01228</v>
      </c>
      <c r="B881" t="str">
        <f>"SIK ACLEAR RAPID AIR AS EU 5L - SIKKENS"</f>
        <v>SIK ACLEAR RAPID AIR AS EU 5L - SIKKENS</v>
      </c>
      <c r="C881">
        <v>167393.72</v>
      </c>
      <c r="D881">
        <v>202546.40119999999</v>
      </c>
    </row>
    <row r="882" spans="1:4" x14ac:dyDescent="0.25">
      <c r="A882" t="str">
        <f>"01229"</f>
        <v>01229</v>
      </c>
      <c r="B882" t="str">
        <f>"SIK ACLEAR RAPID AIR AS WE 2,5L - SIKKENS"</f>
        <v>SIK ACLEAR RAPID AIR AS WE 2,5L - SIKKENS</v>
      </c>
      <c r="C882">
        <v>115226.61</v>
      </c>
      <c r="D882">
        <v>139424.19810000001</v>
      </c>
    </row>
    <row r="883" spans="1:4" x14ac:dyDescent="0.25">
      <c r="A883" t="str">
        <f>"01230"</f>
        <v>01230</v>
      </c>
      <c r="B883" t="str">
        <f>"SIK ACLEAR WB 2.0 EU 5L - SIKKENS"</f>
        <v>SIK ACLEAR WB 2.0 EU 5L - SIKKENS</v>
      </c>
      <c r="C883">
        <v>153721.42000000001</v>
      </c>
      <c r="D883">
        <v>186002.91820000001</v>
      </c>
    </row>
    <row r="884" spans="1:4" x14ac:dyDescent="0.25">
      <c r="A884" t="str">
        <f>"01231"</f>
        <v>01231</v>
      </c>
      <c r="B884" t="str">
        <f>"SIK ACLEAR WB 2.0 END WE 2,5L - SIKKENS"</f>
        <v>SIK ACLEAR WB 2.0 END WE 2,5L - SIKKENS</v>
      </c>
      <c r="C884">
        <v>161268.71</v>
      </c>
      <c r="D884">
        <v>195135.13909999997</v>
      </c>
    </row>
    <row r="885" spans="1:4" x14ac:dyDescent="0.25">
      <c r="A885" t="str">
        <f>"01232"</f>
        <v>01232</v>
      </c>
      <c r="B885" t="str">
        <f>"SIK ACLEAR WB 2.0 REDUC EW 1L - SIKKENS"</f>
        <v>SIK ACLEAR WB 2.0 REDUC EW 1L - SIKKENS</v>
      </c>
      <c r="C885">
        <v>25156.03</v>
      </c>
      <c r="D885">
        <v>30438.796299999998</v>
      </c>
    </row>
    <row r="886" spans="1:4" x14ac:dyDescent="0.25">
      <c r="A886" t="str">
        <f>"01233"</f>
        <v>01233</v>
      </c>
      <c r="B886" t="str">
        <f>"SIK AUTOCLEAR CLASSIC FAST SA 0.9L - SIKKENS"</f>
        <v>SIK AUTOCLEAR CLASSIC FAST SA 0.9L - SIKKENS</v>
      </c>
      <c r="C886">
        <v>28890.07</v>
      </c>
      <c r="D886">
        <v>34956.984700000001</v>
      </c>
    </row>
    <row r="887" spans="1:4" x14ac:dyDescent="0.25">
      <c r="A887" t="str">
        <f>"01234"</f>
        <v>01234</v>
      </c>
      <c r="B887" t="str">
        <f>"SIK AUTOCLEAR CLASSIC FAST SA 5L - SIKKENS"</f>
        <v>SIK AUTOCLEAR CLASSIC FAST SA 5L - SIKKENS</v>
      </c>
      <c r="C887">
        <v>138742.24</v>
      </c>
      <c r="D887">
        <v>167878.11039999998</v>
      </c>
    </row>
    <row r="888" spans="1:4" x14ac:dyDescent="0.25">
      <c r="A888" t="str">
        <f>"01235"</f>
        <v>01235</v>
      </c>
      <c r="B888" t="str">
        <f>"SIK AW MM 334RE EX 0,5L - SIKKENS"</f>
        <v>SIK AW MM 334RE EX 0,5L - SIKKENS</v>
      </c>
      <c r="C888">
        <v>57649.85</v>
      </c>
      <c r="D888">
        <v>69756.318499999994</v>
      </c>
    </row>
    <row r="889" spans="1:4" x14ac:dyDescent="0.25">
      <c r="A889" t="str">
        <f>"01236"</f>
        <v>01236</v>
      </c>
      <c r="B889" t="str">
        <f>"SIK END CLASSIC FAST SA 0.225L - SIKKENS"</f>
        <v>SIK END CLASSIC FAST SA 0.225L - SIKKENS</v>
      </c>
      <c r="C889">
        <v>9795.17</v>
      </c>
      <c r="D889">
        <v>11852.155699999999</v>
      </c>
    </row>
    <row r="890" spans="1:4" x14ac:dyDescent="0.25">
      <c r="A890" t="str">
        <f>"01237"</f>
        <v>01237</v>
      </c>
      <c r="B890" t="str">
        <f>"SIK END CLASSIC FAST SA 0.3L - SIKKENS"</f>
        <v>SIK END CLASSIC FAST SA 0.3L - SIKKENS</v>
      </c>
      <c r="C890">
        <v>12903.88</v>
      </c>
      <c r="D890">
        <v>15613.694799999999</v>
      </c>
    </row>
    <row r="891" spans="1:4" x14ac:dyDescent="0.25">
      <c r="A891" t="str">
        <f>"01238"</f>
        <v>01238</v>
      </c>
      <c r="B891" t="str">
        <f>"SIK END CLASSIC FAST SA 0.9L - SIKKENS"</f>
        <v>SIK END CLASSIC FAST SA 0.9L - SIKKENS</v>
      </c>
      <c r="C891">
        <v>37135.07</v>
      </c>
      <c r="D891">
        <v>44933.434699999998</v>
      </c>
    </row>
    <row r="892" spans="1:4" x14ac:dyDescent="0.25">
      <c r="A892" t="str">
        <f>"01239"</f>
        <v>01239</v>
      </c>
      <c r="B892" t="str">
        <f>"SIK PRIMER CLASSIC FAST SA 0.9L - SIKKENS"</f>
        <v>SIK PRIMER CLASSIC FAST SA 0.9L - SIKKENS</v>
      </c>
      <c r="C892">
        <v>25494.18</v>
      </c>
      <c r="D892">
        <v>30847.9578</v>
      </c>
    </row>
    <row r="893" spans="1:4" x14ac:dyDescent="0.25">
      <c r="A893" t="str">
        <f>"01240"</f>
        <v>01240</v>
      </c>
      <c r="B893" t="str">
        <f>"SIK PRIMER CLASSIC FAST SA 3L - SIKKENS"</f>
        <v>SIK PRIMER CLASSIC FAST SA 3L - SIKKENS</v>
      </c>
      <c r="C893">
        <v>79217.320000000007</v>
      </c>
      <c r="D893">
        <v>95852.957200000004</v>
      </c>
    </row>
    <row r="894" spans="1:4" x14ac:dyDescent="0.25">
      <c r="A894" t="str">
        <f>"01241"</f>
        <v>01241</v>
      </c>
      <c r="B894" t="str">
        <f>"SINTETICO SIKKENS INDUSTRIAL TEECHFLEET"</f>
        <v>SINTETICO SIKKENS INDUSTRIAL TEECHFLEET</v>
      </c>
      <c r="C894">
        <v>0</v>
      </c>
      <c r="D894">
        <v>0</v>
      </c>
    </row>
    <row r="895" spans="1:4" x14ac:dyDescent="0.25">
      <c r="A895" t="str">
        <f>"01242"</f>
        <v>01242</v>
      </c>
      <c r="B895" t="str">
        <f>"SPOTPRIMER                                     AEROSOL - SIKKENS"</f>
        <v>SPOTPRIMER                                     AEROSOL - SIKKENS</v>
      </c>
      <c r="C895">
        <v>15429.57</v>
      </c>
      <c r="D895">
        <v>18669.779699999999</v>
      </c>
    </row>
    <row r="896" spans="1:4" x14ac:dyDescent="0.25">
      <c r="A896" t="str">
        <f>"01243"</f>
        <v>01243</v>
      </c>
      <c r="B896" t="str">
        <f>"THINNER M700 X 1L - SIKKENS"</f>
        <v>THINNER M700 X 1L - SIKKENS</v>
      </c>
      <c r="C896">
        <v>10920.75</v>
      </c>
      <c r="D896">
        <v>13214.1075</v>
      </c>
    </row>
    <row r="897" spans="1:4" x14ac:dyDescent="0.25">
      <c r="A897" t="str">
        <f>"01244"</f>
        <v>01244</v>
      </c>
      <c r="B897" t="str">
        <f>"THINNER M700 X 5L - SIKKENS - SIKKENS"</f>
        <v>THINNER M700 X 5L - SIKKENS - SIKKENS</v>
      </c>
      <c r="C897">
        <v>47070.62</v>
      </c>
      <c r="D897">
        <v>56955.450199999999</v>
      </c>
    </row>
    <row r="898" spans="1:4" x14ac:dyDescent="0.25">
      <c r="A898" t="str">
        <f>"01245"</f>
        <v>01245</v>
      </c>
      <c r="B898" t="str">
        <f>"THINNER SRA - SIKKENS"</f>
        <v>THINNER SRA - SIKKENS</v>
      </c>
      <c r="C898">
        <v>23113.77</v>
      </c>
      <c r="D898">
        <v>27967.661700000001</v>
      </c>
    </row>
    <row r="899" spans="1:4" x14ac:dyDescent="0.25">
      <c r="A899" t="str">
        <f>"01247"</f>
        <v>01247</v>
      </c>
      <c r="B899" t="str">
        <f>"WASHPRIMER 1KCF                          AEROSOL - SIKKENS"</f>
        <v>WASHPRIMER 1KCF                          AEROSOL - SIKKENS</v>
      </c>
      <c r="C899">
        <v>25888.3</v>
      </c>
      <c r="D899">
        <v>31324.842999999997</v>
      </c>
    </row>
    <row r="900" spans="1:4" x14ac:dyDescent="0.25">
      <c r="A900" t="str">
        <f>"01248"</f>
        <v>01248</v>
      </c>
      <c r="B900" t="str">
        <f>"WASPRIMER 1K CF - SIKKENS"</f>
        <v>WASPRIMER 1K CF - SIKKENS</v>
      </c>
      <c r="C900">
        <v>55814.13</v>
      </c>
      <c r="D900">
        <v>67535.097299999994</v>
      </c>
    </row>
    <row r="901" spans="1:4" x14ac:dyDescent="0.25">
      <c r="A901" t="str">
        <f>"01252"</f>
        <v>01252</v>
      </c>
      <c r="B901" t="str">
        <f>"BARNIZ PU 5100 X 0.750L - WANDA"</f>
        <v>BARNIZ PU 5100 X 0.750L - WANDA</v>
      </c>
      <c r="C901">
        <v>9937.31</v>
      </c>
      <c r="D901">
        <v>12024.1451</v>
      </c>
    </row>
    <row r="902" spans="1:4" x14ac:dyDescent="0.25">
      <c r="A902" t="str">
        <f>"01253"</f>
        <v>01253</v>
      </c>
      <c r="B902" t="str">
        <f>"BARNIZ PU 5100 X 5L - WANDA  - WANDA"</f>
        <v>BARNIZ PU 5100 X 5L - WANDA  - WANDA</v>
      </c>
      <c r="C902">
        <v>59193.74</v>
      </c>
      <c r="D902">
        <v>71624.425399999993</v>
      </c>
    </row>
    <row r="903" spans="1:4" x14ac:dyDescent="0.25">
      <c r="A903" t="str">
        <f>"01254"</f>
        <v>01254</v>
      </c>
      <c r="B903" t="str">
        <f>"BARNIZ PU 7100 SUELTO - WANDA"</f>
        <v>BARNIZ PU 7100 SUELTO - WANDA</v>
      </c>
      <c r="C903">
        <v>0</v>
      </c>
      <c r="D903">
        <v>0</v>
      </c>
    </row>
    <row r="904" spans="1:4" x14ac:dyDescent="0.25">
      <c r="A904" t="str">
        <f>"01255"</f>
        <v>01255</v>
      </c>
      <c r="B904" t="str">
        <f>"BARNIZ PU 7100 X 1L- WANDA"</f>
        <v>BARNIZ PU 7100 X 1L- WANDA</v>
      </c>
      <c r="C904">
        <v>14733.98</v>
      </c>
      <c r="D904">
        <v>17828.1158</v>
      </c>
    </row>
    <row r="905" spans="1:4" x14ac:dyDescent="0.25">
      <c r="A905" t="str">
        <f>"01256"</f>
        <v>01256</v>
      </c>
      <c r="B905" t="str">
        <f>"BARNIZ PU 7100 X 5L- WANDA 2:1 - WANDA"</f>
        <v>BARNIZ PU 7100 X 5L- WANDA 2:1 - WANDA</v>
      </c>
      <c r="C905">
        <v>65918.53</v>
      </c>
      <c r="D905">
        <v>79761.421300000002</v>
      </c>
    </row>
    <row r="906" spans="1:4" x14ac:dyDescent="0.25">
      <c r="A906" t="str">
        <f>"01257"</f>
        <v>01257</v>
      </c>
      <c r="B906" t="str">
        <f>"BASE TRANSPARENTE MULTIPROPOSITO - WANDA"</f>
        <v>BASE TRANSPARENTE MULTIPROPOSITO - WANDA</v>
      </c>
      <c r="C906">
        <v>55236.92</v>
      </c>
      <c r="D906">
        <v>66836.67319999999</v>
      </c>
    </row>
    <row r="907" spans="1:4" x14ac:dyDescent="0.25">
      <c r="A907" t="str">
        <f>"01266"</f>
        <v>01266</v>
      </c>
      <c r="B907" t="str">
        <f>"CARGA MAQUINA WANDA -"</f>
        <v>CARGA MAQUINA WANDA -</v>
      </c>
      <c r="C907">
        <v>0</v>
      </c>
      <c r="D907">
        <v>0</v>
      </c>
    </row>
    <row r="908" spans="1:4" x14ac:dyDescent="0.25">
      <c r="A908" t="str">
        <f>"01267"</f>
        <v>01267</v>
      </c>
      <c r="B908" t="str">
        <f>"CATALIZADOR P/WASHFILLER 2 EN 1 - WANDA"</f>
        <v>CATALIZADOR P/WASHFILLER 2 EN 1 - WANDA</v>
      </c>
      <c r="C908">
        <v>3562.77</v>
      </c>
      <c r="D908">
        <v>4310.9516999999996</v>
      </c>
    </row>
    <row r="909" spans="1:4" x14ac:dyDescent="0.25">
      <c r="A909" t="str">
        <f>"01268"</f>
        <v>01268</v>
      </c>
      <c r="B909" t="str">
        <f>"COMPLEMENTOS - WANDA"</f>
        <v>COMPLEMENTOS - WANDA</v>
      </c>
      <c r="C909">
        <v>10854.59</v>
      </c>
      <c r="D909">
        <v>13134.053899999999</v>
      </c>
    </row>
    <row r="910" spans="1:4" x14ac:dyDescent="0.25">
      <c r="A910" t="str">
        <f>"01269"</f>
        <v>01269</v>
      </c>
      <c r="B910" t="str">
        <f>"ELASTIFICANTE P/PLAST 5100 WANDA  - WANDA"</f>
        <v>ELASTIFICANTE P/PLAST 5100 WANDA  - WANDA</v>
      </c>
      <c r="C910">
        <v>9113.3700000000008</v>
      </c>
      <c r="D910">
        <v>11027.1777</v>
      </c>
    </row>
    <row r="911" spans="1:4" x14ac:dyDescent="0.25">
      <c r="A911" t="str">
        <f>"01271"</f>
        <v>01271</v>
      </c>
      <c r="B911" t="str">
        <f>"ENDURECEDOR 3093 X 0.5L  GENERAL P/LÍNEA PU 5100/PU 7100 - WANDA"</f>
        <v>ENDURECEDOR 3093 X 0.5L  GENERAL P/LÍNEA PU 5100/PU 7100 - WANDA</v>
      </c>
      <c r="C911">
        <v>14352.83</v>
      </c>
      <c r="D911">
        <v>17366.924299999999</v>
      </c>
    </row>
    <row r="912" spans="1:4" x14ac:dyDescent="0.25">
      <c r="A912" t="str">
        <f>"01272"</f>
        <v>01272</v>
      </c>
      <c r="B912" t="str">
        <f>"ENDURECEDOR P:U 3093 X 1L - WANDA"</f>
        <v>ENDURECEDOR P:U 3093 X 1L - WANDA</v>
      </c>
      <c r="C912">
        <v>24397.67</v>
      </c>
      <c r="D912">
        <v>29521.180699999997</v>
      </c>
    </row>
    <row r="913" spans="1:4" x14ac:dyDescent="0.25">
      <c r="A913" t="str">
        <f>"01273"</f>
        <v>01273</v>
      </c>
      <c r="B913" t="str">
        <f>"ENDURECEDOR PU - WANDA"</f>
        <v>ENDURECEDOR PU - WANDA</v>
      </c>
      <c r="C913">
        <v>5341.61</v>
      </c>
      <c r="D913">
        <v>6463.3480999999992</v>
      </c>
    </row>
    <row r="914" spans="1:4" x14ac:dyDescent="0.25">
      <c r="A914" t="str">
        <f>"01276"</f>
        <v>01276</v>
      </c>
      <c r="B914" t="str">
        <f>"ENDURECEDOR PU 3093 X 0.150L - WANDA"</f>
        <v>ENDURECEDOR PU 3093 X 0.150L - WANDA</v>
      </c>
      <c r="C914">
        <v>4175.3500000000004</v>
      </c>
      <c r="D914">
        <v>5052.1734999999999</v>
      </c>
    </row>
    <row r="915" spans="1:4" x14ac:dyDescent="0.25">
      <c r="A915" t="str">
        <f>"01277"</f>
        <v>01277</v>
      </c>
      <c r="B915" t="str">
        <f>"MASILLA COLORADA - WANDA"</f>
        <v>MASILLA COLORADA - WANDA</v>
      </c>
      <c r="C915">
        <v>13936.89</v>
      </c>
      <c r="D915">
        <v>16863.636899999998</v>
      </c>
    </row>
    <row r="916" spans="1:4" x14ac:dyDescent="0.25">
      <c r="A916" t="str">
        <f>"01278"</f>
        <v>01278</v>
      </c>
      <c r="B916" t="str">
        <f>"MASILLA RAPIDA GRIS - WANDA"</f>
        <v>MASILLA RAPIDA GRIS - WANDA</v>
      </c>
      <c r="C916">
        <v>13524.12</v>
      </c>
      <c r="D916">
        <v>16364.1852</v>
      </c>
    </row>
    <row r="917" spans="1:4" x14ac:dyDescent="0.25">
      <c r="A917" t="str">
        <f>"01279"</f>
        <v>01279</v>
      </c>
      <c r="B917" t="str">
        <f>"MAQUINA WANDA CARGA COMPLETA"</f>
        <v>MAQUINA WANDA CARGA COMPLETA</v>
      </c>
      <c r="C917">
        <v>0</v>
      </c>
      <c r="D917">
        <v>0</v>
      </c>
    </row>
    <row r="918" spans="1:4" x14ac:dyDescent="0.25">
      <c r="A918" t="str">
        <f>"01280"</f>
        <v>01280</v>
      </c>
      <c r="B918" t="str">
        <f>"PASTA DE PULIR FINA MARVELIZ - WANDA"</f>
        <v>PASTA DE PULIR FINA MARVELIZ - WANDA</v>
      </c>
      <c r="C918">
        <v>10728.68</v>
      </c>
      <c r="D918">
        <v>12981.702799999999</v>
      </c>
    </row>
    <row r="919" spans="1:4" x14ac:dyDescent="0.25">
      <c r="A919" t="str">
        <f>"01282"</f>
        <v>01282</v>
      </c>
      <c r="B919" t="str">
        <f>"PRIMER PU 5100 HS X 0.750L - WANDA"</f>
        <v>PRIMER PU 5100 HS X 0.750L - WANDA</v>
      </c>
      <c r="C919">
        <v>13625.91</v>
      </c>
      <c r="D919">
        <v>16487.3511</v>
      </c>
    </row>
    <row r="920" spans="1:4" x14ac:dyDescent="0.25">
      <c r="A920" t="str">
        <f>"01283"</f>
        <v>01283</v>
      </c>
      <c r="B920" t="str">
        <f>"PRIMER PU 5100 HS X 3L - WANDA"</f>
        <v>PRIMER PU 5100 HS X 3L - WANDA</v>
      </c>
      <c r="C920">
        <v>45909.79</v>
      </c>
      <c r="D920">
        <v>55550.8459</v>
      </c>
    </row>
    <row r="921" spans="1:4" x14ac:dyDescent="0.25">
      <c r="A921" t="str">
        <f>"01285"</f>
        <v>01285</v>
      </c>
      <c r="B921" t="str">
        <f>"DILUYENTE P/POLIESTER Y PU 4030 X 0.900L - WANDA"</f>
        <v>DILUYENTE P/POLIESTER Y PU 4030 X 0.900L - WANDA</v>
      </c>
      <c r="C921">
        <v>9825.9599999999991</v>
      </c>
      <c r="D921">
        <v>11889.411599999999</v>
      </c>
    </row>
    <row r="922" spans="1:4" x14ac:dyDescent="0.25">
      <c r="A922" t="str">
        <f>"01286"</f>
        <v>01286</v>
      </c>
      <c r="B922" t="str">
        <f>"DILUYENTE P/POLIESTER Y PU 4030 X 18L- WANDA"</f>
        <v>DILUYENTE P/POLIESTER Y PU 4030 X 18L- WANDA</v>
      </c>
      <c r="C922">
        <v>167577.88</v>
      </c>
      <c r="D922">
        <v>202769.23480000001</v>
      </c>
    </row>
    <row r="923" spans="1:4" x14ac:dyDescent="0.25">
      <c r="A923" t="str">
        <f>"01288"</f>
        <v>01288</v>
      </c>
      <c r="B923" t="str">
        <f>"DILUYENTE P/POLIESTER Y PU 4030 X 5L - WANDA"</f>
        <v>DILUYENTE P/POLIESTER Y PU 4030 X 5L - WANDA</v>
      </c>
      <c r="C923">
        <v>48822.239999999998</v>
      </c>
      <c r="D923">
        <v>59074.910399999993</v>
      </c>
    </row>
    <row r="924" spans="1:4" x14ac:dyDescent="0.25">
      <c r="A924" t="str">
        <f>"01293"</f>
        <v>01293</v>
      </c>
      <c r="B924" t="str">
        <f>"WBASE MM 1990 PASTA FOSQUEANTE - WANDA"</f>
        <v>WBASE MM 1990 PASTA FOSQUEANTE - WANDA</v>
      </c>
      <c r="C924">
        <v>30341.15</v>
      </c>
      <c r="D924">
        <v>36712.791499999999</v>
      </c>
    </row>
    <row r="925" spans="1:4" x14ac:dyDescent="0.25">
      <c r="A925" t="str">
        <f>"01294"</f>
        <v>01294</v>
      </c>
      <c r="B925" t="str">
        <f>"WBASE MM 1991 METALLIC EFFECT 0,9 L - WANDA"</f>
        <v>WBASE MM 1991 METALLIC EFFECT 0,9 L - WANDA</v>
      </c>
      <c r="C925">
        <v>30341.15</v>
      </c>
      <c r="D925">
        <v>36712.791499999999</v>
      </c>
    </row>
    <row r="926" spans="1:4" x14ac:dyDescent="0.25">
      <c r="A926" t="str">
        <f>"01295"</f>
        <v>01295</v>
      </c>
      <c r="B926" t="str">
        <f>"WBASE MM 2000 BINDER POLIESTER  - WANDA"</f>
        <v>WBASE MM 2000 BINDER POLIESTER  - WANDA</v>
      </c>
      <c r="C926">
        <v>46682.41</v>
      </c>
      <c r="D926">
        <v>56485.716100000005</v>
      </c>
    </row>
    <row r="927" spans="1:4" x14ac:dyDescent="0.25">
      <c r="A927" t="str">
        <f>"01296"</f>
        <v>01296</v>
      </c>
      <c r="B927" t="str">
        <f>"WBASE MM 2001 ALUMINIO FINO  - WANDA"</f>
        <v>WBASE MM 2001 ALUMINIO FINO  - WANDA</v>
      </c>
      <c r="C927">
        <v>111880.06</v>
      </c>
      <c r="D927">
        <v>135374.8726</v>
      </c>
    </row>
    <row r="928" spans="1:4" x14ac:dyDescent="0.25">
      <c r="A928" t="str">
        <f>"01297"</f>
        <v>01297</v>
      </c>
      <c r="B928" t="str">
        <f>"WBASE MM 2003 ALUMINIO GRUESO  - WANDA"</f>
        <v>WBASE MM 2003 ALUMINIO GRUESO  - WANDA</v>
      </c>
      <c r="C928">
        <v>51135.47</v>
      </c>
      <c r="D928">
        <v>61873.918700000002</v>
      </c>
    </row>
    <row r="929" spans="1:4" x14ac:dyDescent="0.25">
      <c r="A929" t="str">
        <f>"01298"</f>
        <v>01298</v>
      </c>
      <c r="B929" t="str">
        <f>"WBASE MM 2004 ALUMINIO BRILLANTE - WANDA"</f>
        <v>WBASE MM 2004 ALUMINIO BRILLANTE - WANDA</v>
      </c>
      <c r="C929">
        <v>174777.74</v>
      </c>
      <c r="D929">
        <v>211481.06539999999</v>
      </c>
    </row>
    <row r="930" spans="1:4" x14ac:dyDescent="0.25">
      <c r="A930" t="str">
        <f>"01299"</f>
        <v>01299</v>
      </c>
      <c r="B930" t="str">
        <f>"WBASE MM 2005 ALUMINIO DORADO - WANDA"</f>
        <v>WBASE MM 2005 ALUMINIO DORADO - WANDA</v>
      </c>
      <c r="C930">
        <v>185981.38</v>
      </c>
      <c r="D930">
        <v>225037.46979999999</v>
      </c>
    </row>
    <row r="931" spans="1:4" x14ac:dyDescent="0.25">
      <c r="A931" t="str">
        <f>"01300"</f>
        <v>01300</v>
      </c>
      <c r="B931" t="str">
        <f>"WBASE MM 2006 ALUMINIO MEDIO - WANDA"</f>
        <v>WBASE MM 2006 ALUMINIO MEDIO - WANDA</v>
      </c>
      <c r="C931">
        <v>219929.75</v>
      </c>
      <c r="D931">
        <v>266114.9975</v>
      </c>
    </row>
    <row r="932" spans="1:4" x14ac:dyDescent="0.25">
      <c r="A932" t="str">
        <f>"01301"</f>
        <v>01301</v>
      </c>
      <c r="B932" t="str">
        <f>"WBASE MM 2007 ALUMINIO MEDIO II - WANDA"</f>
        <v>WBASE MM 2007 ALUMINIO MEDIO II - WANDA</v>
      </c>
      <c r="C932">
        <v>121487.05</v>
      </c>
      <c r="D932">
        <v>146999.33050000001</v>
      </c>
    </row>
    <row r="933" spans="1:4" x14ac:dyDescent="0.25">
      <c r="A933" t="str">
        <f>"01302"</f>
        <v>01302</v>
      </c>
      <c r="B933" t="str">
        <f>"WBASE MM 2008 ALUMINIO GRUESO - WANDA"</f>
        <v>WBASE MM 2008 ALUMINIO GRUESO - WANDA</v>
      </c>
      <c r="C933">
        <v>46309.09</v>
      </c>
      <c r="D933">
        <v>56033.998899999991</v>
      </c>
    </row>
    <row r="934" spans="1:4" x14ac:dyDescent="0.25">
      <c r="A934" t="str">
        <f>"01303"</f>
        <v>01303</v>
      </c>
      <c r="B934" t="str">
        <f>"WBASE MM 2009 ALUMINIO EXTRA FINO - WANDA"</f>
        <v>WBASE MM 2009 ALUMINIO EXTRA FINO - WANDA</v>
      </c>
      <c r="C934">
        <v>46309.09</v>
      </c>
      <c r="D934">
        <v>56033.998899999991</v>
      </c>
    </row>
    <row r="935" spans="1:4" x14ac:dyDescent="0.25">
      <c r="A935" t="str">
        <f>"01304"</f>
        <v>01304</v>
      </c>
      <c r="B935" t="str">
        <f>"WBASE MM 2100 BRANCO  - WANDA"</f>
        <v>WBASE MM 2100 BRANCO  - WANDA</v>
      </c>
      <c r="C935">
        <v>37590.86</v>
      </c>
      <c r="D935">
        <v>45484.940600000002</v>
      </c>
    </row>
    <row r="936" spans="1:4" x14ac:dyDescent="0.25">
      <c r="A936" t="str">
        <f>"01305"</f>
        <v>01305</v>
      </c>
      <c r="B936" t="str">
        <f>"WBASE MM 2102 BLANCO TRANSP - WANDA"</f>
        <v>WBASE MM 2102 BLANCO TRANSP - WANDA</v>
      </c>
      <c r="C936">
        <v>92721.05</v>
      </c>
      <c r="D936">
        <v>112192.4705</v>
      </c>
    </row>
    <row r="937" spans="1:4" x14ac:dyDescent="0.25">
      <c r="A937" t="str">
        <f>"01306"</f>
        <v>01306</v>
      </c>
      <c r="B937" t="str">
        <f>"WBASE MM 2200 MARRON TRANSP - WANDA"</f>
        <v>WBASE MM 2200 MARRON TRANSP - WANDA</v>
      </c>
      <c r="C937">
        <v>59937.29</v>
      </c>
      <c r="D937">
        <v>72524.120899999994</v>
      </c>
    </row>
    <row r="938" spans="1:4" x14ac:dyDescent="0.25">
      <c r="A938" t="str">
        <f>"01307"</f>
        <v>01307</v>
      </c>
      <c r="B938" t="str">
        <f>"WBASE MM 2203 ROJO VIOLACEO - WANDA"</f>
        <v>WBASE MM 2203 ROJO VIOLACEO - WANDA</v>
      </c>
      <c r="C938">
        <v>260827.4</v>
      </c>
      <c r="D938">
        <v>315601.15399999998</v>
      </c>
    </row>
    <row r="939" spans="1:4" x14ac:dyDescent="0.25">
      <c r="A939" t="str">
        <f>"01308"</f>
        <v>01308</v>
      </c>
      <c r="B939" t="str">
        <f>"WBASE MM 2232 ROJO ANARANJADO - WANDA"</f>
        <v>WBASE MM 2232 ROJO ANARANJADO - WANDA</v>
      </c>
      <c r="C939">
        <v>55980.71</v>
      </c>
      <c r="D939">
        <v>67736.65909999999</v>
      </c>
    </row>
    <row r="940" spans="1:4" x14ac:dyDescent="0.25">
      <c r="A940" t="str">
        <f>"01309"</f>
        <v>01309</v>
      </c>
      <c r="B940" t="str">
        <f>"WBASE MM 2233 ROJO OXIDO  - WANDA"</f>
        <v>WBASE MM 2233 ROJO OXIDO  - WANDA</v>
      </c>
      <c r="C940">
        <v>30845.17</v>
      </c>
      <c r="D940">
        <v>37322.655699999996</v>
      </c>
    </row>
    <row r="941" spans="1:4" x14ac:dyDescent="0.25">
      <c r="A941" t="str">
        <f>"01310"</f>
        <v>01310</v>
      </c>
      <c r="B941" t="str">
        <f>"WBASE MM 2236 ROJO LIMPIO  - WANDA"</f>
        <v>WBASE MM 2236 ROJO LIMPIO  - WANDA</v>
      </c>
      <c r="C941">
        <v>204600.09</v>
      </c>
      <c r="D941">
        <v>247566.10889999999</v>
      </c>
    </row>
    <row r="942" spans="1:4" x14ac:dyDescent="0.25">
      <c r="A942" t="str">
        <f>"01311"</f>
        <v>01311</v>
      </c>
      <c r="B942" t="str">
        <f>"WBASE MM 2244 ROJO OXIDO TR  - WANDA"</f>
        <v>WBASE MM 2244 ROJO OXIDO TR  - WANDA</v>
      </c>
      <c r="C942">
        <v>104856.67</v>
      </c>
      <c r="D942">
        <v>126876.5707</v>
      </c>
    </row>
    <row r="943" spans="1:4" x14ac:dyDescent="0.25">
      <c r="A943" t="str">
        <f>"01312"</f>
        <v>01312</v>
      </c>
      <c r="B943" t="str">
        <f>"WBASE MM 2246 NARANJA II  - WANDA"</f>
        <v>WBASE MM 2246 NARANJA II  - WANDA</v>
      </c>
      <c r="C943">
        <v>61553.22</v>
      </c>
      <c r="D943">
        <v>74479.396200000003</v>
      </c>
    </row>
    <row r="944" spans="1:4" x14ac:dyDescent="0.25">
      <c r="A944" t="str">
        <f>"01313"</f>
        <v>01313</v>
      </c>
      <c r="B944" t="str">
        <f>"WBASE MM 2276 ROSA TRANSPARENTE - WANDA"</f>
        <v>WBASE MM 2276 ROSA TRANSPARENTE - WANDA</v>
      </c>
      <c r="C944">
        <v>100694.87</v>
      </c>
      <c r="D944">
        <v>121840.79269999999</v>
      </c>
    </row>
    <row r="945" spans="1:4" x14ac:dyDescent="0.25">
      <c r="A945" t="str">
        <f>"01314"</f>
        <v>01314</v>
      </c>
      <c r="B945" t="str">
        <f>"WBASE MM 2400 AMARILLO TR  - WANDA"</f>
        <v>WBASE MM 2400 AMARILLO TR  - WANDA</v>
      </c>
      <c r="C945">
        <v>36781.730000000003</v>
      </c>
      <c r="D945">
        <v>44505.893300000003</v>
      </c>
    </row>
    <row r="946" spans="1:4" x14ac:dyDescent="0.25">
      <c r="A946" t="str">
        <f>"01315"</f>
        <v>01315</v>
      </c>
      <c r="B946" t="str">
        <f>"WBASE MM 2434 AMARILLO OXIDO - WANDA"</f>
        <v>WBASE MM 2434 AMARILLO OXIDO - WANDA</v>
      </c>
      <c r="C946">
        <v>36781.730000000003</v>
      </c>
      <c r="D946">
        <v>44505.893300000003</v>
      </c>
    </row>
    <row r="947" spans="1:4" x14ac:dyDescent="0.25">
      <c r="A947" t="str">
        <f>"01316"</f>
        <v>01316</v>
      </c>
      <c r="B947" t="str">
        <f>"WBASE MM 2435 AMARILLO ANARANJADO TR - WANDA"</f>
        <v>WBASE MM 2435 AMARILLO ANARANJADO TR - WANDA</v>
      </c>
      <c r="C947">
        <v>59937.29</v>
      </c>
      <c r="D947">
        <v>72524.120899999994</v>
      </c>
    </row>
    <row r="948" spans="1:4" x14ac:dyDescent="0.25">
      <c r="A948" t="str">
        <f>"01317"</f>
        <v>01317</v>
      </c>
      <c r="B948" t="str">
        <f>"WBASE MM 2455 AMARILLO VERDOSO TR - WANDA"</f>
        <v>WBASE MM 2455 AMARILLO VERDOSO TR - WANDA</v>
      </c>
      <c r="C948">
        <v>39971.07</v>
      </c>
      <c r="D948">
        <v>48364.994699999996</v>
      </c>
    </row>
    <row r="949" spans="1:4" x14ac:dyDescent="0.25">
      <c r="A949" t="str">
        <f>"01318"</f>
        <v>01318</v>
      </c>
      <c r="B949" t="str">
        <f>"WBASE MM 2456 AMARILLO VERDOSO  - WANDA"</f>
        <v>WBASE MM 2456 AMARILLO VERDOSO  - WANDA</v>
      </c>
      <c r="C949">
        <v>71121.67</v>
      </c>
      <c r="D949">
        <v>86057.220699999991</v>
      </c>
    </row>
    <row r="950" spans="1:4" x14ac:dyDescent="0.25">
      <c r="A950" t="str">
        <f>"01319"</f>
        <v>01319</v>
      </c>
      <c r="B950" t="str">
        <f>"WBASE MM 2457 AMARILLO BRILLANTE  - WANDA"</f>
        <v>WBASE MM 2457 AMARILLO BRILLANTE  - WANDA</v>
      </c>
      <c r="C950">
        <v>52749.56</v>
      </c>
      <c r="D950">
        <v>63826.967599999996</v>
      </c>
    </row>
    <row r="951" spans="1:4" x14ac:dyDescent="0.25">
      <c r="A951" t="str">
        <f>"01320"</f>
        <v>01320</v>
      </c>
      <c r="B951" t="str">
        <f>"WBASE MM 2545 VERDE AMARILLO  - WANDA"</f>
        <v>WBASE MM 2545 VERDE AMARILLO  - WANDA</v>
      </c>
      <c r="C951">
        <v>179002.13</v>
      </c>
      <c r="D951">
        <v>216592.5773</v>
      </c>
    </row>
    <row r="952" spans="1:4" x14ac:dyDescent="0.25">
      <c r="A952" t="str">
        <f>"01321"</f>
        <v>01321</v>
      </c>
      <c r="B952" t="str">
        <f>"WBASE MM 2565 VERDE AZULADO  - WANDA"</f>
        <v>WBASE MM 2565 VERDE AZULADO  - WANDA</v>
      </c>
      <c r="C952">
        <v>34336.17</v>
      </c>
      <c r="D952">
        <v>41546.765699999996</v>
      </c>
    </row>
    <row r="953" spans="1:4" x14ac:dyDescent="0.25">
      <c r="A953" t="str">
        <f>"01322"</f>
        <v>01322</v>
      </c>
      <c r="B953" t="str">
        <f>"WBASE MM 2624 AZUL RUBIN TR  - WANDA"</f>
        <v>WBASE MM 2624 AZUL RUBIN TR  - WANDA</v>
      </c>
      <c r="C953">
        <v>136670.21</v>
      </c>
      <c r="D953">
        <v>165370.95409999997</v>
      </c>
    </row>
    <row r="954" spans="1:4" x14ac:dyDescent="0.25">
      <c r="A954" t="str">
        <f>"01323"</f>
        <v>01323</v>
      </c>
      <c r="B954" t="str">
        <f>"WBASE MM 2654 AZUL BETA  - WANDA"</f>
        <v>WBASE MM 2654 AZUL BETA  - WANDA</v>
      </c>
      <c r="C954">
        <v>46309.09</v>
      </c>
      <c r="D954">
        <v>56033.998899999991</v>
      </c>
    </row>
    <row r="955" spans="1:4" x14ac:dyDescent="0.25">
      <c r="A955" t="str">
        <f>"01324"</f>
        <v>01324</v>
      </c>
      <c r="B955" t="str">
        <f>"WBASE MM 2655 AZUL INTENSO  - WANDA"</f>
        <v>WBASE MM 2655 AZUL INTENSO  - WANDA</v>
      </c>
      <c r="C955">
        <v>58300.06</v>
      </c>
      <c r="D955">
        <v>70543.0726</v>
      </c>
    </row>
    <row r="956" spans="1:4" x14ac:dyDescent="0.25">
      <c r="A956" t="str">
        <f>"01325"</f>
        <v>01325</v>
      </c>
      <c r="B956" t="str">
        <f>"WBASE MM 2670 AZUL VIOLACEO TR  - WANDA"</f>
        <v>WBASE MM 2670 AZUL VIOLACEO TR  - WANDA</v>
      </c>
      <c r="C956">
        <v>114239.67999999999</v>
      </c>
      <c r="D956">
        <v>138230.0128</v>
      </c>
    </row>
    <row r="957" spans="1:4" x14ac:dyDescent="0.25">
      <c r="A957" t="str">
        <f>"01326"</f>
        <v>01326</v>
      </c>
      <c r="B957" t="str">
        <f>"WBASE MM 2700 VIOLETA TRANSPARENTE - WANDA"</f>
        <v>WBASE MM 2700 VIOLETA TRANSPARENTE - WANDA</v>
      </c>
      <c r="C957">
        <v>51941.55</v>
      </c>
      <c r="D957">
        <v>62849.275500000003</v>
      </c>
    </row>
    <row r="958" spans="1:4" x14ac:dyDescent="0.25">
      <c r="A958" t="str">
        <f>"01327"</f>
        <v>01327</v>
      </c>
      <c r="B958" t="str">
        <f>"WBASE MM 2723 VIOLETA ROJIZO - WANDA"</f>
        <v>WBASE MM 2723 VIOLETA ROJIZO - WANDA</v>
      </c>
      <c r="C958">
        <v>137930.04999999999</v>
      </c>
      <c r="D958">
        <v>166895.36049999998</v>
      </c>
    </row>
    <row r="959" spans="1:4" x14ac:dyDescent="0.25">
      <c r="A959" t="str">
        <f>"01328"</f>
        <v>01328</v>
      </c>
      <c r="B959" t="str">
        <f>"WBASE MM 2800 NEGRO PROFUNDO - WANDA"</f>
        <v>WBASE MM 2800 NEGRO PROFUNDO - WANDA</v>
      </c>
      <c r="C959">
        <v>54322.68</v>
      </c>
      <c r="D959">
        <v>65730.442800000004</v>
      </c>
    </row>
    <row r="960" spans="1:4" x14ac:dyDescent="0.25">
      <c r="A960" t="str">
        <f>"01329"</f>
        <v>01329</v>
      </c>
      <c r="B960" t="str">
        <f>"WBASE MM 2840 NEGRO  - WANDA"</f>
        <v>WBASE MM 2840 NEGRO  - WANDA</v>
      </c>
      <c r="C960">
        <v>65797.289999999994</v>
      </c>
      <c r="D960">
        <v>79614.720899999986</v>
      </c>
    </row>
    <row r="961" spans="1:4" x14ac:dyDescent="0.25">
      <c r="A961" t="str">
        <f>"01330"</f>
        <v>01330</v>
      </c>
      <c r="B961" t="str">
        <f>"WBASE MM 2903 BLANCO EFFECT COLOR - WANDA"</f>
        <v>WBASE MM 2903 BLANCO EFFECT COLOR - WANDA</v>
      </c>
      <c r="C961">
        <v>95701.3</v>
      </c>
      <c r="D961">
        <v>115798.573</v>
      </c>
    </row>
    <row r="962" spans="1:4" x14ac:dyDescent="0.25">
      <c r="A962" t="str">
        <f>"01331"</f>
        <v>01331</v>
      </c>
      <c r="B962" t="str">
        <f>"WBASE MM 2910 BLANCO PERLADO  - WANDA"</f>
        <v>WBASE MM 2910 BLANCO PERLADO  - WANDA</v>
      </c>
      <c r="C962">
        <v>65569.440000000002</v>
      </c>
      <c r="D962">
        <v>79339.022400000002</v>
      </c>
    </row>
    <row r="963" spans="1:4" x14ac:dyDescent="0.25">
      <c r="A963" t="str">
        <f>"01332"</f>
        <v>01332</v>
      </c>
      <c r="B963" t="str">
        <f>"WBASE MM 2911 BLANCO PERLADO PL  - WANDA"</f>
        <v>WBASE MM 2911 BLANCO PERLADO PL  - WANDA</v>
      </c>
      <c r="C963">
        <v>63933.64</v>
      </c>
      <c r="D963">
        <v>77359.704400000002</v>
      </c>
    </row>
    <row r="964" spans="1:4" x14ac:dyDescent="0.25">
      <c r="A964" t="str">
        <f>"01333"</f>
        <v>01333</v>
      </c>
      <c r="B964" t="str">
        <f>"WBASE MM 2923 MARRON PERLADO  - WANDA"</f>
        <v>WBASE MM 2923 MARRON PERLADO  - WANDA</v>
      </c>
      <c r="C964">
        <v>73542.960000000006</v>
      </c>
      <c r="D964">
        <v>88986.981599999999</v>
      </c>
    </row>
    <row r="965" spans="1:4" x14ac:dyDescent="0.25">
      <c r="A965" t="str">
        <f>"01334"</f>
        <v>01334</v>
      </c>
      <c r="B965" t="str">
        <f>"WBASE MM 2924 ROJO PERLADO  - WANDA"</f>
        <v>WBASE MM 2924 ROJO PERLADO  - WANDA</v>
      </c>
      <c r="C965">
        <v>65361.27</v>
      </c>
      <c r="D965">
        <v>79087.136699999988</v>
      </c>
    </row>
    <row r="966" spans="1:4" x14ac:dyDescent="0.25">
      <c r="A966" t="str">
        <f>"01335"</f>
        <v>01335</v>
      </c>
      <c r="B966" t="str">
        <f>"WBASE MM 2925 ROJO PERLADO ESP  - WANDA"</f>
        <v>WBASE MM 2925 ROJO PERLADO ESP  - WANDA</v>
      </c>
      <c r="C966">
        <v>64617.18</v>
      </c>
      <c r="D966">
        <v>78186.787799999991</v>
      </c>
    </row>
    <row r="967" spans="1:4" x14ac:dyDescent="0.25">
      <c r="A967" t="str">
        <f>"01336"</f>
        <v>01336</v>
      </c>
      <c r="B967" t="str">
        <f>"WBASE MM 2926 ROJO EFFECT COLOR  - WANDA"</f>
        <v>WBASE MM 2926 ROJO EFFECT COLOR  - WANDA</v>
      </c>
      <c r="C967">
        <v>82986.429999999993</v>
      </c>
      <c r="D967">
        <v>100413.58029999999</v>
      </c>
    </row>
    <row r="968" spans="1:4" x14ac:dyDescent="0.25">
      <c r="A968" t="str">
        <f>"01337"</f>
        <v>01337</v>
      </c>
      <c r="B968" t="str">
        <f>"WBASE MM 2941 DORADO PERLADO MEDIANO - WANDA"</f>
        <v>WBASE MM 2941 DORADO PERLADO MEDIANO - WANDA</v>
      </c>
      <c r="C968">
        <v>67929.88</v>
      </c>
      <c r="D968">
        <v>82195.154800000004</v>
      </c>
    </row>
    <row r="969" spans="1:4" x14ac:dyDescent="0.25">
      <c r="A969" t="str">
        <f>"01338"</f>
        <v>01338</v>
      </c>
      <c r="B969" t="str">
        <f>"WBASE MM 2942 DORADO PERLADO  - WANDA"</f>
        <v>WBASE MM 2942 DORADO PERLADO  - WANDA</v>
      </c>
      <c r="C969">
        <v>67929.88</v>
      </c>
      <c r="D969">
        <v>82195.154800000004</v>
      </c>
    </row>
    <row r="970" spans="1:4" x14ac:dyDescent="0.25">
      <c r="A970" t="str">
        <f>"01339"</f>
        <v>01339</v>
      </c>
      <c r="B970" t="str">
        <f>"WBASE MM 2947 DORADO EFFECT COLOR  - WANDA"</f>
        <v>WBASE MM 2947 DORADO EFFECT COLOR  - WANDA</v>
      </c>
      <c r="C970">
        <v>110656.42</v>
      </c>
      <c r="D970">
        <v>133894.26819999999</v>
      </c>
    </row>
    <row r="971" spans="1:4" x14ac:dyDescent="0.25">
      <c r="A971" t="str">
        <f>"01340"</f>
        <v>01340</v>
      </c>
      <c r="B971" t="str">
        <f>"WBASE MM 2952 VERDE PERLADO  - WANDA"</f>
        <v>WBASE MM 2952 VERDE PERLADO  - WANDA</v>
      </c>
      <c r="C971">
        <v>78286.36</v>
      </c>
      <c r="D971">
        <v>94726.495599999995</v>
      </c>
    </row>
    <row r="972" spans="1:4" x14ac:dyDescent="0.25">
      <c r="A972" t="str">
        <f>"01341"</f>
        <v>01341</v>
      </c>
      <c r="B972" t="str">
        <f>"WBASE MM 2954  PERLA VERDE MEDIANO - WANDA"</f>
        <v>WBASE MM 2954  PERLA VERDE MEDIANO - WANDA</v>
      </c>
      <c r="C972">
        <v>65775.78</v>
      </c>
      <c r="D972">
        <v>79588.693799999994</v>
      </c>
    </row>
    <row r="973" spans="1:4" x14ac:dyDescent="0.25">
      <c r="A973" t="str">
        <f>"01342"</f>
        <v>01342</v>
      </c>
      <c r="B973" t="str">
        <f>"WBASE MM 2963 AZUL PERLADO ESP  - WANDA"</f>
        <v>WBASE MM 2963 AZUL PERLADO ESP  - WANDA</v>
      </c>
      <c r="C973">
        <v>65569.440000000002</v>
      </c>
      <c r="D973">
        <v>79339.022400000002</v>
      </c>
    </row>
    <row r="974" spans="1:4" x14ac:dyDescent="0.25">
      <c r="A974" t="str">
        <f>"01343"</f>
        <v>01343</v>
      </c>
      <c r="B974" t="str">
        <f>"WBASE MM 2964 AZUL PERLADO - WANDA"</f>
        <v>WBASE MM 2964 AZUL PERLADO - WANDA</v>
      </c>
      <c r="C974">
        <v>67103.820000000007</v>
      </c>
      <c r="D974">
        <v>81195.622200000013</v>
      </c>
    </row>
    <row r="975" spans="1:4" x14ac:dyDescent="0.25">
      <c r="A975" t="str">
        <f>"01344"</f>
        <v>01344</v>
      </c>
      <c r="B975" t="str">
        <f>"WBASE MM 2968 AZUL EFFECT COLOR - WANDA"</f>
        <v>WBASE MM 2968 AZUL EFFECT COLOR - WANDA</v>
      </c>
      <c r="C975">
        <v>110656.42</v>
      </c>
      <c r="D975">
        <v>133894.26819999999</v>
      </c>
    </row>
    <row r="976" spans="1:4" x14ac:dyDescent="0.25">
      <c r="A976" t="str">
        <f>"01345"</f>
        <v>01345</v>
      </c>
      <c r="B976" t="str">
        <f>"WBASE MM 2975 VIOLETA PERLADO  - WANDA"</f>
        <v>WBASE MM 2975 VIOLETA PERLADO  - WANDA</v>
      </c>
      <c r="C976">
        <v>72735.87</v>
      </c>
      <c r="D976">
        <v>88010.402699999991</v>
      </c>
    </row>
    <row r="977" spans="1:4" x14ac:dyDescent="0.25">
      <c r="A977" t="str">
        <f>"01346"</f>
        <v>01346</v>
      </c>
      <c r="B977" t="str">
        <f>"WBASE MM 3200 BLANCO AS  - WANDA"</f>
        <v>WBASE MM 3200 BLANCO AS  - WANDA</v>
      </c>
      <c r="C977">
        <v>104691.72</v>
      </c>
      <c r="D977">
        <v>126676.98119999999</v>
      </c>
    </row>
    <row r="978" spans="1:4" x14ac:dyDescent="0.25">
      <c r="A978" t="str">
        <f>"01347"</f>
        <v>01347</v>
      </c>
      <c r="B978" t="str">
        <f>"WBASE MM 3210 WHITE BRIGHT 3,6L - WANDA"</f>
        <v>WBASE MM 3210 WHITE BRIGHT 3,6L - WANDA</v>
      </c>
      <c r="C978">
        <v>104691.72</v>
      </c>
      <c r="D978">
        <v>126676.98119999999</v>
      </c>
    </row>
    <row r="979" spans="1:4" x14ac:dyDescent="0.25">
      <c r="A979" t="str">
        <f>"01348"</f>
        <v>01348</v>
      </c>
      <c r="B979" t="str">
        <f>"WBASE MM BINDER ACRILICO UNIVERSAL 8300 - WANDA"</f>
        <v>WBASE MM BINDER ACRILICO UNIVERSAL 8300 - WANDA</v>
      </c>
      <c r="C979">
        <v>45460.81</v>
      </c>
      <c r="D979">
        <v>55007.580099999992</v>
      </c>
    </row>
    <row r="980" spans="1:4" x14ac:dyDescent="0.25">
      <c r="A980" t="str">
        <f>"01349"</f>
        <v>01349</v>
      </c>
      <c r="B980" t="str">
        <f>"TRAPO CAVALIERI X 500 GR"</f>
        <v>TRAPO CAVALIERI X 500 GR</v>
      </c>
      <c r="C980">
        <v>3614.23</v>
      </c>
      <c r="D980">
        <v>4373.2182999999995</v>
      </c>
    </row>
    <row r="981" spans="1:4" x14ac:dyDescent="0.25">
      <c r="A981" t="str">
        <f>"01350"</f>
        <v>01350</v>
      </c>
      <c r="B981" t="str">
        <f>"COBERTOR MULTIUSO 3X3 M - LH"</f>
        <v>COBERTOR MULTIUSO 3X3 M - LH</v>
      </c>
      <c r="C981">
        <v>2349.92</v>
      </c>
      <c r="D981">
        <v>2843.4032000000002</v>
      </c>
    </row>
    <row r="982" spans="1:4" x14ac:dyDescent="0.25">
      <c r="A982" t="str">
        <f>"01352"</f>
        <v>01352</v>
      </c>
      <c r="B982" t="str">
        <f>"ESCALERA PINTOR 10 ESCALONES - ALPINA"</f>
        <v>ESCALERA PINTOR 10 ESCALONES - ALPINA</v>
      </c>
      <c r="C982">
        <v>106643.83</v>
      </c>
      <c r="D982">
        <v>129039.0343</v>
      </c>
    </row>
    <row r="983" spans="1:4" x14ac:dyDescent="0.25">
      <c r="A983" t="str">
        <f>"01353"</f>
        <v>01353</v>
      </c>
      <c r="B983" t="str">
        <f>"ESCALERA PINTOR 11 ESCALONES - ALPINA"</f>
        <v>ESCALERA PINTOR 11 ESCALONES - ALPINA</v>
      </c>
      <c r="C983">
        <v>134419.39000000001</v>
      </c>
      <c r="D983">
        <v>162647.46190000002</v>
      </c>
    </row>
    <row r="984" spans="1:4" x14ac:dyDescent="0.25">
      <c r="A984" t="str">
        <f>"01354"</f>
        <v>01354</v>
      </c>
      <c r="B984" t="str">
        <f>"ESCALERA PINTOR 12 ESCALONES - ALPINA"</f>
        <v>ESCALERA PINTOR 12 ESCALONES - ALPINA</v>
      </c>
      <c r="C984">
        <v>146627.29999999999</v>
      </c>
      <c r="D984">
        <v>177419.03299999997</v>
      </c>
    </row>
    <row r="985" spans="1:4" x14ac:dyDescent="0.25">
      <c r="A985" t="str">
        <f>"01355"</f>
        <v>01355</v>
      </c>
      <c r="B985" t="str">
        <f>"ESCALERA PINTOR 4 ESCALONES - ALPINA"</f>
        <v>ESCALERA PINTOR 4 ESCALONES - ALPINA</v>
      </c>
      <c r="C985">
        <v>42674.38</v>
      </c>
      <c r="D985">
        <v>51635.999799999998</v>
      </c>
    </row>
    <row r="986" spans="1:4" x14ac:dyDescent="0.25">
      <c r="A986" t="str">
        <f>"01356"</f>
        <v>01356</v>
      </c>
      <c r="B986" t="str">
        <f>"ESCALERA PINTOR 5  ESCALONES - ALPINA"</f>
        <v>ESCALERA PINTOR 5  ESCALONES - ALPINA</v>
      </c>
      <c r="C986">
        <v>53309.02</v>
      </c>
      <c r="D986">
        <v>64503.914199999992</v>
      </c>
    </row>
    <row r="987" spans="1:4" x14ac:dyDescent="0.25">
      <c r="A987" t="str">
        <f>"01357"</f>
        <v>01357</v>
      </c>
      <c r="B987" t="str">
        <f>"ESCALERA PINTOR 6 ESCALONES - ALPINA"</f>
        <v>ESCALERA PINTOR 6 ESCALONES - ALPINA</v>
      </c>
      <c r="C987">
        <v>63955.69</v>
      </c>
      <c r="D987">
        <v>77386.384900000005</v>
      </c>
    </row>
    <row r="988" spans="1:4" x14ac:dyDescent="0.25">
      <c r="A988" t="str">
        <f>"01358"</f>
        <v>01358</v>
      </c>
      <c r="B988" t="str">
        <f>"ESCALERA PINTOR 7  ESCALONES - ALPINA"</f>
        <v>ESCALERA PINTOR 7  ESCALONES - ALPINA</v>
      </c>
      <c r="C988">
        <v>74647.070000000007</v>
      </c>
      <c r="D988">
        <v>90322.954700000002</v>
      </c>
    </row>
    <row r="989" spans="1:4" x14ac:dyDescent="0.25">
      <c r="A989" t="str">
        <f>"01359"</f>
        <v>01359</v>
      </c>
      <c r="B989" t="str">
        <f>"ESCALERA PINTOR 8  ESCALONES - ALPINA"</f>
        <v>ESCALERA PINTOR 8  ESCALONES - ALPINA</v>
      </c>
      <c r="C989">
        <v>85312.65</v>
      </c>
      <c r="D989">
        <v>103228.30649999999</v>
      </c>
    </row>
    <row r="990" spans="1:4" x14ac:dyDescent="0.25">
      <c r="A990" t="str">
        <f>"01360"</f>
        <v>01360</v>
      </c>
      <c r="B990" t="str">
        <f>"ESCALERA PINTOR 9 ESCALONES - ALPINA"</f>
        <v>ESCALERA PINTOR 9 ESCALONES - ALPINA</v>
      </c>
      <c r="C990">
        <v>95955.88</v>
      </c>
      <c r="D990">
        <v>116106.6148</v>
      </c>
    </row>
    <row r="991" spans="1:4" x14ac:dyDescent="0.25">
      <c r="A991" t="str">
        <f>"01361"</f>
        <v>01361</v>
      </c>
      <c r="B991" t="str">
        <f>"ESPATULAS ENDUIDO #10"</f>
        <v>ESPATULAS ENDUIDO #10</v>
      </c>
      <c r="C991">
        <v>5451.46</v>
      </c>
      <c r="D991">
        <v>6596.2665999999999</v>
      </c>
    </row>
    <row r="992" spans="1:4" x14ac:dyDescent="0.25">
      <c r="A992" t="str">
        <f>"01362"</f>
        <v>01362</v>
      </c>
      <c r="B992" t="str">
        <f>"ESPATULAS ENDUIDO #12"</f>
        <v>ESPATULAS ENDUIDO #12</v>
      </c>
      <c r="C992">
        <v>5598.33</v>
      </c>
      <c r="D992">
        <v>6773.9793</v>
      </c>
    </row>
    <row r="993" spans="1:4" x14ac:dyDescent="0.25">
      <c r="A993" t="str">
        <f>"01363"</f>
        <v>01363</v>
      </c>
      <c r="B993" t="str">
        <f>"ESPATULAS ENDUIDO #15"</f>
        <v>ESPATULAS ENDUIDO #15</v>
      </c>
      <c r="C993">
        <v>6133.97</v>
      </c>
      <c r="D993">
        <v>7422.1036999999997</v>
      </c>
    </row>
    <row r="994" spans="1:4" x14ac:dyDescent="0.25">
      <c r="A994" t="str">
        <f>"01364"</f>
        <v>01364</v>
      </c>
      <c r="B994" t="str">
        <f>"ESPATULAS ENDUIDO #17"</f>
        <v>ESPATULAS ENDUIDO #17</v>
      </c>
      <c r="C994">
        <v>6980.64</v>
      </c>
      <c r="D994">
        <v>8446.5743999999995</v>
      </c>
    </row>
    <row r="995" spans="1:4" x14ac:dyDescent="0.25">
      <c r="A995" t="str">
        <f>"01365"</f>
        <v>01365</v>
      </c>
      <c r="B995" t="str">
        <f>"ESTOPA LUSTRE APELES 350GR - APELES"</f>
        <v>ESTOPA LUSTRE APELES 350GR - APELES</v>
      </c>
      <c r="C995">
        <v>1382.3</v>
      </c>
      <c r="D995">
        <v>1672.5829999999999</v>
      </c>
    </row>
    <row r="996" spans="1:4" x14ac:dyDescent="0.25">
      <c r="A996" t="str">
        <f>"01369"</f>
        <v>01369</v>
      </c>
      <c r="B996" t="str">
        <f>"LLANA PLASTICA DE ALTO IMPACTO 12X30 - LH"</f>
        <v>LLANA PLASTICA DE ALTO IMPACTO 12X30 - LH</v>
      </c>
      <c r="C996">
        <v>5758.36</v>
      </c>
      <c r="D996">
        <v>6967.6155999999992</v>
      </c>
    </row>
    <row r="997" spans="1:4" x14ac:dyDescent="0.25">
      <c r="A997" t="str">
        <f>"01370"</f>
        <v>01370</v>
      </c>
      <c r="B997" t="str">
        <f>"VIRUTA ACERO FINA X 250 GR - APELES"</f>
        <v>VIRUTA ACERO FINA X 250 GR - APELES</v>
      </c>
      <c r="C997">
        <v>3048.54</v>
      </c>
      <c r="D997">
        <v>3688.7334000000001</v>
      </c>
    </row>
    <row r="998" spans="1:4" x14ac:dyDescent="0.25">
      <c r="A998" t="str">
        <f>"01371"</f>
        <v>01371</v>
      </c>
      <c r="B998" t="str">
        <f>"VIRUTA ACERO GRUESA X 250 GR - APELES"</f>
        <v>VIRUTA ACERO GRUESA X 250 GR - APELES</v>
      </c>
      <c r="C998">
        <v>3048.54</v>
      </c>
      <c r="D998">
        <v>3688.7334000000001</v>
      </c>
    </row>
    <row r="999" spans="1:4" x14ac:dyDescent="0.25">
      <c r="A999" t="str">
        <f>"01372"</f>
        <v>01372</v>
      </c>
      <c r="B999" t="str">
        <f>"VIRUTA ACERO MEDIANA X 250 GR - APELES"</f>
        <v>VIRUTA ACERO MEDIANA X 250 GR - APELES</v>
      </c>
      <c r="C999">
        <v>3048.54</v>
      </c>
      <c r="D999">
        <v>3688.7334000000001</v>
      </c>
    </row>
    <row r="1000" spans="1:4" x14ac:dyDescent="0.25">
      <c r="A1000" t="str">
        <f>"01373"</f>
        <v>01373</v>
      </c>
      <c r="B1000" t="str">
        <f>"ACIDO MULTIUSO X 1L - CAUCHET"</f>
        <v>ACIDO MULTIUSO X 1L - CAUCHET</v>
      </c>
      <c r="C1000">
        <v>4630.97</v>
      </c>
      <c r="D1000">
        <v>5603.4737000000005</v>
      </c>
    </row>
    <row r="1001" spans="1:4" x14ac:dyDescent="0.25">
      <c r="A1001" t="str">
        <f>"01374"</f>
        <v>01374</v>
      </c>
      <c r="B1001" t="str">
        <f>"ACIDO MULTIUSO X 5L - CAUCHET"</f>
        <v>ACIDO MULTIUSO X 5L - CAUCHET</v>
      </c>
      <c r="C1001">
        <v>14044.8</v>
      </c>
      <c r="D1001">
        <v>16994.207999999999</v>
      </c>
    </row>
    <row r="1002" spans="1:4" x14ac:dyDescent="0.25">
      <c r="A1002" t="str">
        <f>"01378"</f>
        <v>01378</v>
      </c>
      <c r="B1002" t="str">
        <f>"ANTEOJO DE POLICARBONATO TRANSPARENTE - FURGUINO"</f>
        <v>ANTEOJO DE POLICARBONATO TRANSPARENTE - FURGUINO</v>
      </c>
      <c r="C1002">
        <v>3146.22</v>
      </c>
      <c r="D1002">
        <v>3806.9261999999994</v>
      </c>
    </row>
    <row r="1003" spans="1:4" x14ac:dyDescent="0.25">
      <c r="A1003" t="str">
        <f>"01379"</f>
        <v>01379</v>
      </c>
      <c r="B1003" t="str">
        <f>"CINTA METRICA X 5M GIANT - FUEGUINO"</f>
        <v>CINTA METRICA X 5M GIANT - FUEGUINO</v>
      </c>
      <c r="C1003">
        <v>4728.57</v>
      </c>
      <c r="D1003">
        <v>5721.5696999999991</v>
      </c>
    </row>
    <row r="1004" spans="1:4" x14ac:dyDescent="0.25">
      <c r="A1004" t="str">
        <f>"01380"</f>
        <v>01380</v>
      </c>
      <c r="B1004" t="str">
        <f>"CINTA METRICA X 3M GIANT - FUEGUINO"</f>
        <v>CINTA METRICA X 3M GIANT - FUEGUINO</v>
      </c>
      <c r="C1004">
        <v>3783.78</v>
      </c>
      <c r="D1004">
        <v>4578.3738000000003</v>
      </c>
    </row>
    <row r="1005" spans="1:4" x14ac:dyDescent="0.25">
      <c r="A1005" t="str">
        <f>"01381"</f>
        <v>01381</v>
      </c>
      <c r="B1005" t="str">
        <f>"CEPILLO DE ALAMBRE BRONCE MANGO AZUL - FUEGUINO"</f>
        <v>CEPILLO DE ALAMBRE BRONCE MANGO AZUL - FUEGUINO</v>
      </c>
      <c r="C1005">
        <v>2493.1999999999998</v>
      </c>
      <c r="D1005">
        <v>3016.7719999999995</v>
      </c>
    </row>
    <row r="1006" spans="1:4" x14ac:dyDescent="0.25">
      <c r="A1006" t="str">
        <f>"01382"</f>
        <v>01382</v>
      </c>
      <c r="B1006" t="str">
        <f>"CUTTER METALICO ROTTWAILER"</f>
        <v>CUTTER METALICO ROTTWAILER</v>
      </c>
      <c r="C1006">
        <v>2688.96</v>
      </c>
      <c r="D1006">
        <v>3253.6415999999999</v>
      </c>
    </row>
    <row r="1007" spans="1:4" x14ac:dyDescent="0.25">
      <c r="A1007" t="str">
        <f>"01383"</f>
        <v>01383</v>
      </c>
      <c r="B1007" t="str">
        <f>"DISCO FLAP OXIDO DE ALUMINIO 115MM GRANO 60 - ROTTWEILER"</f>
        <v>DISCO FLAP OXIDO DE ALUMINIO 115MM GRANO 60 - ROTTWEILER</v>
      </c>
      <c r="C1007">
        <v>1674.82</v>
      </c>
      <c r="D1007">
        <v>2026.5321999999999</v>
      </c>
    </row>
    <row r="1008" spans="1:4" x14ac:dyDescent="0.25">
      <c r="A1008" t="str">
        <f>"01384"</f>
        <v>01384</v>
      </c>
      <c r="B1008" t="str">
        <f>"DISCO FLAP OXIDO DE ALUMINIO 115MM GRANO 80 - ROTTWEILER"</f>
        <v>DISCO FLAP OXIDO DE ALUMINIO 115MM GRANO 80 - ROTTWEILER</v>
      </c>
      <c r="C1008">
        <v>1674.82</v>
      </c>
      <c r="D1008">
        <v>2026.5321999999999</v>
      </c>
    </row>
    <row r="1009" spans="1:4" x14ac:dyDescent="0.25">
      <c r="A1009" t="str">
        <f>"01385"</f>
        <v>01385</v>
      </c>
      <c r="B1009" t="str">
        <f>"DISCO FLAP OXIDO DE ALUMINIO 115MM GRANO 100 - ROTTWILER"</f>
        <v>DISCO FLAP OXIDO DE ALUMINIO 115MM GRANO 100 - ROTTWILER</v>
      </c>
      <c r="C1009">
        <v>1674.82</v>
      </c>
      <c r="D1009">
        <v>2026.5321999999999</v>
      </c>
    </row>
    <row r="1010" spans="1:4" x14ac:dyDescent="0.25">
      <c r="A1010" t="str">
        <f>"01386"</f>
        <v>01386</v>
      </c>
      <c r="B1010" t="str">
        <f>"DISCO FLAP OXIDO DE ALUMINIO 115MM GRANO 120 - ROTTWEILER"</f>
        <v>DISCO FLAP OXIDO DE ALUMINIO 115MM GRANO 120 - ROTTWEILER</v>
      </c>
      <c r="C1010">
        <v>1674.82</v>
      </c>
      <c r="D1010">
        <v>2026.5321999999999</v>
      </c>
    </row>
    <row r="1011" spans="1:4" x14ac:dyDescent="0.25">
      <c r="A1011" t="str">
        <f>"01390"</f>
        <v>01390</v>
      </c>
      <c r="B1011" t="str">
        <f>"ESPUMA DE POLIURETANO 300 ML - TACSA"</f>
        <v>ESPUMA DE POLIURETANO 300 ML - TACSA</v>
      </c>
      <c r="C1011">
        <v>9242.51</v>
      </c>
      <c r="D1011">
        <v>11183.437099999999</v>
      </c>
    </row>
    <row r="1012" spans="1:4" x14ac:dyDescent="0.25">
      <c r="A1012" t="str">
        <f>"01391"</f>
        <v>01391</v>
      </c>
      <c r="B1012" t="str">
        <f>"ESPUMA DE POLIURETANO 500 ML - TACSA"</f>
        <v>ESPUMA DE POLIURETANO 500 ML - TACSA</v>
      </c>
      <c r="C1012">
        <v>14464.13</v>
      </c>
      <c r="D1012">
        <v>17501.597299999998</v>
      </c>
    </row>
    <row r="1013" spans="1:4" x14ac:dyDescent="0.25">
      <c r="A1013" t="str">
        <f>"01392"</f>
        <v>01392</v>
      </c>
      <c r="B1013" t="str">
        <f>"COLA POTE 1 KL - FORTEX"</f>
        <v>COLA POTE 1 KL - FORTEX</v>
      </c>
      <c r="C1013">
        <v>75118.81</v>
      </c>
      <c r="D1013">
        <v>90893.7601</v>
      </c>
    </row>
    <row r="1014" spans="1:4" x14ac:dyDescent="0.25">
      <c r="A1014" t="str">
        <f>"01393"</f>
        <v>01393</v>
      </c>
      <c r="B1014" t="str">
        <f>"COLA POTE 250GR - FORTEX"</f>
        <v>COLA POTE 250GR - FORTEX</v>
      </c>
      <c r="C1014">
        <v>2626.22</v>
      </c>
      <c r="D1014">
        <v>3177.7261999999996</v>
      </c>
    </row>
    <row r="1015" spans="1:4" x14ac:dyDescent="0.25">
      <c r="A1015" t="str">
        <f>"01394"</f>
        <v>01394</v>
      </c>
      <c r="B1015" t="str">
        <f>"COLA POTE 500GR - FORTEX"</f>
        <v>COLA POTE 500GR - FORTEX</v>
      </c>
      <c r="C1015">
        <v>4499.55</v>
      </c>
      <c r="D1015">
        <v>5444.4555</v>
      </c>
    </row>
    <row r="1016" spans="1:4" x14ac:dyDescent="0.25">
      <c r="A1016" t="str">
        <f>"01395"</f>
        <v>01395</v>
      </c>
      <c r="B1016" t="str">
        <f>"GUANTES LIVIANO GAMISOL - FUEGUINO"</f>
        <v>GUANTES LIVIANO GAMISOL - FUEGUINO</v>
      </c>
      <c r="C1016">
        <v>2774.31</v>
      </c>
      <c r="D1016">
        <v>3356.9150999999997</v>
      </c>
    </row>
    <row r="1017" spans="1:4" x14ac:dyDescent="0.25">
      <c r="A1017" t="str">
        <f>"01396"</f>
        <v>01396</v>
      </c>
      <c r="B1017" t="str">
        <f>"GUANTES MOTEADO - FUEGUINO"</f>
        <v>GUANTES MOTEADO - FUEGUINO</v>
      </c>
      <c r="C1017">
        <v>1339.8</v>
      </c>
      <c r="D1017">
        <v>1621.1579999999999</v>
      </c>
    </row>
    <row r="1018" spans="1:4" x14ac:dyDescent="0.25">
      <c r="A1018" t="str">
        <f>"01397"</f>
        <v>01397</v>
      </c>
      <c r="B1018" t="str">
        <f>"MASCARILLA BARBIJO N95 - FUEGUINO"</f>
        <v>MASCARILLA BARBIJO N95 - FUEGUINO</v>
      </c>
      <c r="C1018">
        <v>1478.32</v>
      </c>
      <c r="D1018">
        <v>1788.7671999999998</v>
      </c>
    </row>
    <row r="1019" spans="1:4" x14ac:dyDescent="0.25">
      <c r="A1019" t="str">
        <f>"01400"</f>
        <v>01400</v>
      </c>
      <c r="B1019" t="str">
        <f>"PISTOLA APLICADORA P/SILICONA AMARILLA - ROTTWEILER"</f>
        <v>PISTOLA APLICADORA P/SILICONA AMARILLA - ROTTWEILER</v>
      </c>
      <c r="C1019">
        <v>8762.92</v>
      </c>
      <c r="D1019">
        <v>10603.1332</v>
      </c>
    </row>
    <row r="1020" spans="1:4" x14ac:dyDescent="0.25">
      <c r="A1020" t="str">
        <f>"01401"</f>
        <v>01401</v>
      </c>
      <c r="B1020" t="str">
        <f>"POXI RAN X 23 GR. - POXI RAN"</f>
        <v>POXI RAN X 23 GR. - POXI RAN</v>
      </c>
      <c r="C1020">
        <v>3874.38</v>
      </c>
      <c r="D1020">
        <v>4687.9997999999996</v>
      </c>
    </row>
    <row r="1021" spans="1:4" x14ac:dyDescent="0.25">
      <c r="A1021" t="str">
        <f>"01402"</f>
        <v>01402</v>
      </c>
      <c r="B1021" t="str">
        <f>"RASPADOR DE PINTURA Y CALCO - FUEGUINO"</f>
        <v>RASPADOR DE PINTURA Y CALCO - FUEGUINO</v>
      </c>
      <c r="C1021">
        <v>3001.63</v>
      </c>
      <c r="D1021">
        <v>3631.9722999999999</v>
      </c>
    </row>
    <row r="1022" spans="1:4" x14ac:dyDescent="0.25">
      <c r="A1022" t="str">
        <f>"01404"</f>
        <v>01404</v>
      </c>
      <c r="B1022" t="str">
        <f>"1 L MACA P - EMAPI"</f>
        <v>1 L MACA P - EMAPI</v>
      </c>
      <c r="C1022">
        <v>6757.81</v>
      </c>
      <c r="D1022">
        <v>8176.9501</v>
      </c>
    </row>
    <row r="1023" spans="1:4" x14ac:dyDescent="0.25">
      <c r="A1023" t="str">
        <f>"01405"</f>
        <v>01405</v>
      </c>
      <c r="B1023" t="str">
        <f>"18 L MACA P - EMAPI"</f>
        <v>18 L MACA P - EMAPI</v>
      </c>
      <c r="C1023">
        <v>79639.78</v>
      </c>
      <c r="D1023">
        <v>96364.133799999996</v>
      </c>
    </row>
    <row r="1024" spans="1:4" x14ac:dyDescent="0.25">
      <c r="A1024" t="str">
        <f>"01406"</f>
        <v>01406</v>
      </c>
      <c r="B1024" t="str">
        <f>"4 L MACA P - EMAPI"</f>
        <v>4 L MACA P - EMAPI</v>
      </c>
      <c r="C1024">
        <v>20049.099999999999</v>
      </c>
      <c r="D1024">
        <v>24259.410999999996</v>
      </c>
    </row>
    <row r="1025" spans="1:4" x14ac:dyDescent="0.25">
      <c r="A1025" t="str">
        <f>"01418"</f>
        <v>01418</v>
      </c>
      <c r="B1025" t="str">
        <f>"CM 3 EN 1 BERMELLON 1L - EMAPI"</f>
        <v>CM 3 EN 1 BERMELLON 1L - EMAPI</v>
      </c>
      <c r="C1025">
        <v>12108.32</v>
      </c>
      <c r="D1025">
        <v>14651.0672</v>
      </c>
    </row>
    <row r="1026" spans="1:4" x14ac:dyDescent="0.25">
      <c r="A1026" t="str">
        <f>"01421"</f>
        <v>01421</v>
      </c>
      <c r="B1026" t="str">
        <f>"CM 3 EN 1 BLANCO 1L - EMAPI"</f>
        <v>CM 3 EN 1 BLANCO 1L - EMAPI</v>
      </c>
      <c r="C1026">
        <v>12108.32</v>
      </c>
      <c r="D1026">
        <v>14651.0672</v>
      </c>
    </row>
    <row r="1027" spans="1:4" x14ac:dyDescent="0.25">
      <c r="A1027" t="str">
        <f>"01424"</f>
        <v>01424</v>
      </c>
      <c r="B1027" t="str">
        <f>"CM 3 EN 1 GRIS ESPACIAL 1L - EMAPI"</f>
        <v>CM 3 EN 1 GRIS ESPACIAL 1L - EMAPI</v>
      </c>
      <c r="C1027">
        <v>12108.63</v>
      </c>
      <c r="D1027">
        <v>14651.442299999999</v>
      </c>
    </row>
    <row r="1028" spans="1:4" x14ac:dyDescent="0.25">
      <c r="A1028" t="str">
        <f>"01430"</f>
        <v>01430</v>
      </c>
      <c r="B1028" t="str">
        <f>"CM 3 EN 1 NEGRO 1L - EMAPI"</f>
        <v>CM 3 EN 1 NEGRO 1L - EMAPI</v>
      </c>
      <c r="C1028">
        <v>12108.63</v>
      </c>
      <c r="D1028">
        <v>14651.442299999999</v>
      </c>
    </row>
    <row r="1029" spans="1:4" x14ac:dyDescent="0.25">
      <c r="A1029" t="str">
        <f>"01435"</f>
        <v>01435</v>
      </c>
      <c r="B1029" t="str">
        <f>"CM ANTIOXIDO BLANCO 1 L - EMAPI"</f>
        <v>CM ANTIOXIDO BLANCO 1 L - EMAPI</v>
      </c>
      <c r="C1029">
        <v>8945.3799999999992</v>
      </c>
      <c r="D1029">
        <v>10823.909799999999</v>
      </c>
    </row>
    <row r="1030" spans="1:4" x14ac:dyDescent="0.25">
      <c r="A1030" t="str">
        <f>"01436"</f>
        <v>01436</v>
      </c>
      <c r="B1030" t="str">
        <f>"CM ANTIOXIDO BLANCO 20 L - EMAPI"</f>
        <v>CM ANTIOXIDO BLANCO 20 L - EMAPI</v>
      </c>
      <c r="C1030">
        <v>140530.29</v>
      </c>
      <c r="D1030">
        <v>170041.65090000001</v>
      </c>
    </row>
    <row r="1031" spans="1:4" x14ac:dyDescent="0.25">
      <c r="A1031" t="str">
        <f>"01437"</f>
        <v>01437</v>
      </c>
      <c r="B1031" t="str">
        <f>"CM ANTIOXIDO BLANCO 4 L - EMAPI"</f>
        <v>CM ANTIOXIDO BLANCO 4 L - EMAPI</v>
      </c>
      <c r="C1031">
        <v>30745.41</v>
      </c>
      <c r="D1031">
        <v>37201.946100000001</v>
      </c>
    </row>
    <row r="1032" spans="1:4" x14ac:dyDescent="0.25">
      <c r="A1032" t="str">
        <f>"01438"</f>
        <v>01438</v>
      </c>
      <c r="B1032" t="str">
        <f>"CM ANTIOXIDO GRIS 1 L - EMAPI"</f>
        <v>CM ANTIOXIDO GRIS 1 L - EMAPI</v>
      </c>
      <c r="C1032">
        <v>8945.3799999999992</v>
      </c>
      <c r="D1032">
        <v>10823.909799999999</v>
      </c>
    </row>
    <row r="1033" spans="1:4" x14ac:dyDescent="0.25">
      <c r="A1033" t="str">
        <f>"01439"</f>
        <v>01439</v>
      </c>
      <c r="B1033" t="str">
        <f>"CM ANTIOXIDO GRIS 20 L - EMAPI"</f>
        <v>CM ANTIOXIDO GRIS 20 L - EMAPI</v>
      </c>
      <c r="C1033">
        <v>140530.29</v>
      </c>
      <c r="D1033">
        <v>170041.65090000001</v>
      </c>
    </row>
    <row r="1034" spans="1:4" x14ac:dyDescent="0.25">
      <c r="A1034" t="str">
        <f>"01440"</f>
        <v>01440</v>
      </c>
      <c r="B1034" t="str">
        <f>"CM ANTIOXIDO GRIS 4 L - EMAPI"</f>
        <v>CM ANTIOXIDO GRIS 4 L - EMAPI</v>
      </c>
      <c r="C1034">
        <v>30745.41</v>
      </c>
      <c r="D1034">
        <v>37201.946100000001</v>
      </c>
    </row>
    <row r="1035" spans="1:4" x14ac:dyDescent="0.25">
      <c r="A1035" t="str">
        <f>"01441"</f>
        <v>01441</v>
      </c>
      <c r="B1035" t="str">
        <f>"CM ANTIOXIDO NEGRO 1 L - EMAPI"</f>
        <v>CM ANTIOXIDO NEGRO 1 L - EMAPI</v>
      </c>
      <c r="C1035">
        <v>9440.5</v>
      </c>
      <c r="D1035">
        <v>11423.004999999999</v>
      </c>
    </row>
    <row r="1036" spans="1:4" x14ac:dyDescent="0.25">
      <c r="A1036" t="str">
        <f>"01442"</f>
        <v>01442</v>
      </c>
      <c r="B1036" t="str">
        <f>"CM ANTIOXIDO NEGRO 20 L - EMAPI"</f>
        <v>CM ANTIOXIDO NEGRO 20 L - EMAPI</v>
      </c>
      <c r="C1036">
        <v>152295.21</v>
      </c>
      <c r="D1036">
        <v>184277.20409999997</v>
      </c>
    </row>
    <row r="1037" spans="1:4" x14ac:dyDescent="0.25">
      <c r="A1037" t="str">
        <f>"01443"</f>
        <v>01443</v>
      </c>
      <c r="B1037" t="str">
        <f>"CM ANTIOXIDO NEGRO 4 L - EMAPI"</f>
        <v>CM ANTIOXIDO NEGRO 4 L - EMAPI</v>
      </c>
      <c r="C1037">
        <v>33390.92</v>
      </c>
      <c r="D1037">
        <v>40403.013199999994</v>
      </c>
    </row>
    <row r="1038" spans="1:4" x14ac:dyDescent="0.25">
      <c r="A1038" t="str">
        <f>"01444"</f>
        <v>01444</v>
      </c>
      <c r="B1038" t="str">
        <f>"CM ANTIOXIDO ROJO 1 L - EMAPI"</f>
        <v>CM ANTIOXIDO ROJO 1 L - EMAPI</v>
      </c>
      <c r="C1038">
        <v>9440.5</v>
      </c>
      <c r="D1038">
        <v>11423.004999999999</v>
      </c>
    </row>
    <row r="1039" spans="1:4" x14ac:dyDescent="0.25">
      <c r="A1039" t="str">
        <f>"01445"</f>
        <v>01445</v>
      </c>
      <c r="B1039" t="str">
        <f>"CM ANTIOXIDO ROJO 1/2 L - EMAPI"</f>
        <v>CM ANTIOXIDO ROJO 1/2 L - EMAPI</v>
      </c>
      <c r="C1039">
        <v>5771.89</v>
      </c>
      <c r="D1039">
        <v>6983.9868999999999</v>
      </c>
    </row>
    <row r="1040" spans="1:4" x14ac:dyDescent="0.25">
      <c r="A1040" t="str">
        <f>"01446"</f>
        <v>01446</v>
      </c>
      <c r="B1040" t="str">
        <f>"CM ANTIOXIDO ROJO 20 L - EMAPI"</f>
        <v>CM ANTIOXIDO ROJO 20 L - EMAPI</v>
      </c>
      <c r="C1040">
        <v>152295.21</v>
      </c>
      <c r="D1040">
        <v>184277.20409999997</v>
      </c>
    </row>
    <row r="1041" spans="1:4" x14ac:dyDescent="0.25">
      <c r="A1041" t="str">
        <f>"01447"</f>
        <v>01447</v>
      </c>
      <c r="B1041" t="str">
        <f>"CM ANTIOXIDO ROJO 4 L - EMAPI"</f>
        <v>CM ANTIOXIDO ROJO 4 L - EMAPI</v>
      </c>
      <c r="C1041">
        <v>33390.92</v>
      </c>
      <c r="D1041">
        <v>40403.013199999994</v>
      </c>
    </row>
    <row r="1042" spans="1:4" x14ac:dyDescent="0.25">
      <c r="A1042" t="str">
        <f>"01448"</f>
        <v>01448</v>
      </c>
      <c r="B1042" t="str">
        <f>"CM CONVERTIDOR BLANCO 1 L - EMAPI"</f>
        <v>CM CONVERTIDOR BLANCO 1 L - EMAPI</v>
      </c>
      <c r="C1042">
        <v>13353.99</v>
      </c>
      <c r="D1042">
        <v>16158.327899999998</v>
      </c>
    </row>
    <row r="1043" spans="1:4" x14ac:dyDescent="0.25">
      <c r="A1043" t="str">
        <f>"01449"</f>
        <v>01449</v>
      </c>
      <c r="B1043" t="str">
        <f>"CM CONVERTIDOR BLANCO 20 L - EMAPI"</f>
        <v>CM CONVERTIDOR BLANCO 20 L - EMAPI</v>
      </c>
      <c r="C1043">
        <v>233432.66</v>
      </c>
      <c r="D1043">
        <v>282453.51860000001</v>
      </c>
    </row>
    <row r="1044" spans="1:4" x14ac:dyDescent="0.25">
      <c r="A1044" t="str">
        <f>"01450"</f>
        <v>01450</v>
      </c>
      <c r="B1044" t="str">
        <f>"CM CONVERTIDOR BLANCO 4 L - EMAPI"</f>
        <v>CM CONVERTIDOR BLANCO 4 L - EMAPI</v>
      </c>
      <c r="C1044">
        <v>48310.09</v>
      </c>
      <c r="D1044">
        <v>58455.208899999991</v>
      </c>
    </row>
    <row r="1045" spans="1:4" x14ac:dyDescent="0.25">
      <c r="A1045" t="str">
        <f>"01451"</f>
        <v>01451</v>
      </c>
      <c r="B1045" t="str">
        <f>"CM CONVERTIDOR GRIS 1 L - EMAPI"</f>
        <v>CM CONVERTIDOR GRIS 1 L - EMAPI</v>
      </c>
      <c r="C1045">
        <v>13353.99</v>
      </c>
      <c r="D1045">
        <v>16158.327899999998</v>
      </c>
    </row>
    <row r="1046" spans="1:4" x14ac:dyDescent="0.25">
      <c r="A1046" t="str">
        <f>"01452"</f>
        <v>01452</v>
      </c>
      <c r="B1046" t="str">
        <f>"CM CONVERTIDOR GRIS 20 L - EMAPI"</f>
        <v>CM CONVERTIDOR GRIS 20 L - EMAPI</v>
      </c>
      <c r="C1046">
        <v>233432.66</v>
      </c>
      <c r="D1046">
        <v>282453.51860000001</v>
      </c>
    </row>
    <row r="1047" spans="1:4" x14ac:dyDescent="0.25">
      <c r="A1047" t="str">
        <f>"01453"</f>
        <v>01453</v>
      </c>
      <c r="B1047" t="str">
        <f>"CM CONVERTIDOR GRIS 4 L - EMAPI"</f>
        <v>CM CONVERTIDOR GRIS 4 L - EMAPI</v>
      </c>
      <c r="C1047">
        <v>48310.09</v>
      </c>
      <c r="D1047">
        <v>58455.208899999991</v>
      </c>
    </row>
    <row r="1048" spans="1:4" x14ac:dyDescent="0.25">
      <c r="A1048" t="str">
        <f>"01454"</f>
        <v>01454</v>
      </c>
      <c r="B1048" t="str">
        <f>"CM CONVERTIDOR NEGRO 1 L - EMAPI"</f>
        <v>CM CONVERTIDOR NEGRO 1 L - EMAPI</v>
      </c>
      <c r="C1048">
        <v>9378.83</v>
      </c>
      <c r="D1048">
        <v>11348.3843</v>
      </c>
    </row>
    <row r="1049" spans="1:4" x14ac:dyDescent="0.25">
      <c r="A1049" t="str">
        <f>"01455"</f>
        <v>01455</v>
      </c>
      <c r="B1049" t="str">
        <f>"CM CONVERTIDOR NEGRO 20 L - EMAPI"</f>
        <v>CM CONVERTIDOR NEGRO 20 L - EMAPI</v>
      </c>
      <c r="C1049">
        <v>149633.93</v>
      </c>
      <c r="D1049">
        <v>181057.05529999998</v>
      </c>
    </row>
    <row r="1050" spans="1:4" x14ac:dyDescent="0.25">
      <c r="A1050" t="str">
        <f>"01456"</f>
        <v>01456</v>
      </c>
      <c r="B1050" t="str">
        <f>"CM CONVERTIDOR NEGRO 4 L - EMAPI"</f>
        <v>CM CONVERTIDOR NEGRO 4 L - EMAPI</v>
      </c>
      <c r="C1050">
        <v>32535.65</v>
      </c>
      <c r="D1050">
        <v>39368.136500000001</v>
      </c>
    </row>
    <row r="1051" spans="1:4" x14ac:dyDescent="0.25">
      <c r="A1051" t="str">
        <f>"01457"</f>
        <v>01457</v>
      </c>
      <c r="B1051" t="str">
        <f>"CM CONVERTIDOR ROJO 1 L - EMAPI"</f>
        <v>CM CONVERTIDOR ROJO 1 L - EMAPI</v>
      </c>
      <c r="C1051">
        <v>9378.83</v>
      </c>
      <c r="D1051">
        <v>11348.3843</v>
      </c>
    </row>
    <row r="1052" spans="1:4" x14ac:dyDescent="0.25">
      <c r="A1052" t="str">
        <f>"01458"</f>
        <v>01458</v>
      </c>
      <c r="B1052" t="str">
        <f>"CM CONVERTIDOR ROJO 20 L - EMAPI"</f>
        <v>CM CONVERTIDOR ROJO 20 L - EMAPI</v>
      </c>
      <c r="C1052">
        <v>149633.93</v>
      </c>
      <c r="D1052">
        <v>181057.05529999998</v>
      </c>
    </row>
    <row r="1053" spans="1:4" x14ac:dyDescent="0.25">
      <c r="A1053" t="str">
        <f>"01459"</f>
        <v>01459</v>
      </c>
      <c r="B1053" t="str">
        <f>"CM CONVERTIDOR ROJO 4 L - EMAPI"</f>
        <v>CM CONVERTIDOR ROJO 4 L - EMAPI</v>
      </c>
      <c r="C1053">
        <v>32535.65</v>
      </c>
      <c r="D1053">
        <v>39368.136500000001</v>
      </c>
    </row>
    <row r="1054" spans="1:4" x14ac:dyDescent="0.25">
      <c r="A1054" t="str">
        <f>"01462"</f>
        <v>01462</v>
      </c>
      <c r="B1054" t="str">
        <f>"CROMATICA ALUMINIO BRILL 1 L - EMAPI"</f>
        <v>CROMATICA ALUMINIO BRILL 1 L - EMAPI</v>
      </c>
      <c r="C1054">
        <v>19902.169999999998</v>
      </c>
      <c r="D1054">
        <v>24081.625699999997</v>
      </c>
    </row>
    <row r="1055" spans="1:4" x14ac:dyDescent="0.25">
      <c r="A1055" t="str">
        <f>"01463"</f>
        <v>01463</v>
      </c>
      <c r="B1055" t="str">
        <f>"CROMATICA ALUMINIO BRILL 1/2 L - EMAPI"</f>
        <v>CROMATICA ALUMINIO BRILL 1/2 L - EMAPI</v>
      </c>
      <c r="C1055">
        <v>10918.45</v>
      </c>
      <c r="D1055">
        <v>13211.324500000001</v>
      </c>
    </row>
    <row r="1056" spans="1:4" x14ac:dyDescent="0.25">
      <c r="A1056" t="str">
        <f>"01466"</f>
        <v>01466</v>
      </c>
      <c r="B1056" t="str">
        <f>"CROMATICA ALUMINIO BRILL 4 L - EMAPI"</f>
        <v>CROMATICA ALUMINIO BRILL 4 L - EMAPI</v>
      </c>
      <c r="C1056">
        <v>73715.11</v>
      </c>
      <c r="D1056">
        <v>89195.283100000001</v>
      </c>
    </row>
    <row r="1057" spans="1:4" x14ac:dyDescent="0.25">
      <c r="A1057" t="str">
        <f>"01467"</f>
        <v>01467</v>
      </c>
      <c r="B1057" t="str">
        <f>"CROMATICA AMARILLO BRILL 1 L - EMAPI"</f>
        <v>CROMATICA AMARILLO BRILL 1 L - EMAPI</v>
      </c>
      <c r="C1057">
        <v>14335.99</v>
      </c>
      <c r="D1057">
        <v>17346.547899999998</v>
      </c>
    </row>
    <row r="1058" spans="1:4" x14ac:dyDescent="0.25">
      <c r="A1058" t="str">
        <f>"01468"</f>
        <v>01468</v>
      </c>
      <c r="B1058" t="str">
        <f>"CROMATICA AMARILLO BRILL 1/2 L - EMAPI"</f>
        <v>CROMATICA AMARILLO BRILL 1/2 L - EMAPI</v>
      </c>
      <c r="C1058">
        <v>8175.08</v>
      </c>
      <c r="D1058">
        <v>9891.8467999999993</v>
      </c>
    </row>
    <row r="1059" spans="1:4" x14ac:dyDescent="0.25">
      <c r="A1059" t="str">
        <f>"01482"</f>
        <v>01482</v>
      </c>
      <c r="B1059" t="str">
        <f>"CROMATICA AZULEJO BRILL 4 L - EMAPI"</f>
        <v>CROMATICA AZULEJO BRILL 4 L - EMAPI</v>
      </c>
      <c r="C1059">
        <v>39738.160000000003</v>
      </c>
      <c r="D1059">
        <v>48083.173600000002</v>
      </c>
    </row>
    <row r="1060" spans="1:4" x14ac:dyDescent="0.25">
      <c r="A1060" t="str">
        <f>"01483"</f>
        <v>01483</v>
      </c>
      <c r="B1060" t="str">
        <f>"CROMATICA BEIGE BRILL 1 L - EMAPI"</f>
        <v>CROMATICA BEIGE BRILL 1 L - EMAPI</v>
      </c>
      <c r="C1060">
        <v>11515.91</v>
      </c>
      <c r="D1060">
        <v>13934.251099999999</v>
      </c>
    </row>
    <row r="1061" spans="1:4" x14ac:dyDescent="0.25">
      <c r="A1061" t="str">
        <f>"01486"</f>
        <v>01486</v>
      </c>
      <c r="B1061" t="str">
        <f>"CROMATICA BERMELLON BRILL 1 L - EMAPI"</f>
        <v>CROMATICA BERMELLON BRILL 1 L - EMAPI</v>
      </c>
      <c r="C1061">
        <v>14335.99</v>
      </c>
      <c r="D1061">
        <v>17346.547899999998</v>
      </c>
    </row>
    <row r="1062" spans="1:4" x14ac:dyDescent="0.25">
      <c r="A1062" t="str">
        <f>"01487"</f>
        <v>01487</v>
      </c>
      <c r="B1062" t="str">
        <f>"CROMATICA BERMELLON BRILL 1/2 L - EMAPI"</f>
        <v>CROMATICA BERMELLON BRILL 1/2 L - EMAPI</v>
      </c>
      <c r="C1062">
        <v>8175.08</v>
      </c>
      <c r="D1062">
        <v>9891.8467999999993</v>
      </c>
    </row>
    <row r="1063" spans="1:4" x14ac:dyDescent="0.25">
      <c r="A1063" t="str">
        <f>"01490"</f>
        <v>01490</v>
      </c>
      <c r="B1063" t="str">
        <f>"CROMATICA BERMELLON BRILL 4 L - EMAPI"</f>
        <v>CROMATICA BERMELLON BRILL 4 L - EMAPI</v>
      </c>
      <c r="C1063">
        <v>50847.66</v>
      </c>
      <c r="D1063">
        <v>61525.668600000005</v>
      </c>
    </row>
    <row r="1064" spans="1:4" x14ac:dyDescent="0.25">
      <c r="A1064" t="str">
        <f>"01491"</f>
        <v>01491</v>
      </c>
      <c r="B1064" t="str">
        <f>"CROMATICA BLANCO BRILL 1 L - EMAPI"</f>
        <v>CROMATICA BLANCO BRILL 1 L - EMAPI</v>
      </c>
      <c r="C1064">
        <v>10482.459999999999</v>
      </c>
      <c r="D1064">
        <v>12683.776599999999</v>
      </c>
    </row>
    <row r="1065" spans="1:4" x14ac:dyDescent="0.25">
      <c r="A1065" t="str">
        <f>"01492"</f>
        <v>01492</v>
      </c>
      <c r="B1065" t="str">
        <f>"CROMATICA BLANCO BRILL 1/2 L - EMAPI"</f>
        <v>CROMATICA BLANCO BRILL 1/2 L - EMAPI</v>
      </c>
      <c r="C1065">
        <v>5966.78</v>
      </c>
      <c r="D1065">
        <v>7219.8037999999997</v>
      </c>
    </row>
    <row r="1066" spans="1:4" x14ac:dyDescent="0.25">
      <c r="A1066" t="str">
        <f>"01494"</f>
        <v>01494</v>
      </c>
      <c r="B1066" t="str">
        <f>"CROMATICA BLANCO BRILL 20 L - EMAPI"</f>
        <v>CROMATICA BLANCO BRILL 20 L - EMAPI</v>
      </c>
      <c r="C1066">
        <v>170066.42</v>
      </c>
      <c r="D1066">
        <v>205780.3682</v>
      </c>
    </row>
    <row r="1067" spans="1:4" x14ac:dyDescent="0.25">
      <c r="A1067" t="str">
        <f>"01495"</f>
        <v>01495</v>
      </c>
      <c r="B1067" t="str">
        <f>"CROMATICA BLANCO BRILL 4 L - EMAPI"</f>
        <v>CROMATICA BLANCO BRILL 4 L - EMAPI</v>
      </c>
      <c r="C1067">
        <v>37167.79</v>
      </c>
      <c r="D1067">
        <v>44973.025900000001</v>
      </c>
    </row>
    <row r="1068" spans="1:4" x14ac:dyDescent="0.25">
      <c r="A1068" t="str">
        <f>"01496"</f>
        <v>01496</v>
      </c>
      <c r="B1068" t="str">
        <f>"CROMATICA BLANCO MATE 1 L - EMAPI"</f>
        <v>CROMATICA BLANCO MATE 1 L - EMAPI</v>
      </c>
      <c r="C1068">
        <v>10482.459999999999</v>
      </c>
      <c r="D1068">
        <v>12683.776599999999</v>
      </c>
    </row>
    <row r="1069" spans="1:4" x14ac:dyDescent="0.25">
      <c r="A1069" t="str">
        <f>"01497"</f>
        <v>01497</v>
      </c>
      <c r="B1069" t="str">
        <f>"CROMATICA BLANCO MATE 1/2 L - EMAPI"</f>
        <v>CROMATICA BLANCO MATE 1/2 L - EMAPI</v>
      </c>
      <c r="C1069">
        <v>5966.78</v>
      </c>
      <c r="D1069">
        <v>7219.8037999999997</v>
      </c>
    </row>
    <row r="1070" spans="1:4" x14ac:dyDescent="0.25">
      <c r="A1070" t="str">
        <f>"01498"</f>
        <v>01498</v>
      </c>
      <c r="B1070" t="str">
        <f>"CROMATICA BLANCO MATE 20 L - EMAPI"</f>
        <v>CROMATICA BLANCO MATE 20 L - EMAPI</v>
      </c>
      <c r="C1070">
        <v>170066.42</v>
      </c>
      <c r="D1070">
        <v>205780.3682</v>
      </c>
    </row>
    <row r="1071" spans="1:4" x14ac:dyDescent="0.25">
      <c r="A1071" t="str">
        <f>"01499"</f>
        <v>01499</v>
      </c>
      <c r="B1071" t="str">
        <f>"CROMATICA BLANCO MATE 4 L - EMAPI"</f>
        <v>CROMATICA BLANCO MATE 4 L - EMAPI</v>
      </c>
      <c r="C1071">
        <v>37167.79</v>
      </c>
      <c r="D1071">
        <v>44973.025900000001</v>
      </c>
    </row>
    <row r="1072" spans="1:4" x14ac:dyDescent="0.25">
      <c r="A1072" t="str">
        <f>"01500"</f>
        <v>01500</v>
      </c>
      <c r="B1072" t="str">
        <f>"CROMATICA BLANCO SAT 1 L - EMAPI"</f>
        <v>CROMATICA BLANCO SAT 1 L - EMAPI</v>
      </c>
      <c r="C1072">
        <v>10482.459999999999</v>
      </c>
      <c r="D1072">
        <v>12683.776599999999</v>
      </c>
    </row>
    <row r="1073" spans="1:4" x14ac:dyDescent="0.25">
      <c r="A1073" t="str">
        <f>"01501"</f>
        <v>01501</v>
      </c>
      <c r="B1073" t="str">
        <f>"CROMATICA BLANCO SAT 1/2 L - EMAPI"</f>
        <v>CROMATICA BLANCO SAT 1/2 L - EMAPI</v>
      </c>
      <c r="C1073">
        <v>5966.78</v>
      </c>
      <c r="D1073">
        <v>7219.8037999999997</v>
      </c>
    </row>
    <row r="1074" spans="1:4" x14ac:dyDescent="0.25">
      <c r="A1074" t="str">
        <f>"01502"</f>
        <v>01502</v>
      </c>
      <c r="B1074" t="str">
        <f>"CROMATICA BLANCO SAT 20 L - EMAPI"</f>
        <v>CROMATICA BLANCO SAT 20 L - EMAPI</v>
      </c>
      <c r="C1074">
        <v>170066.42</v>
      </c>
      <c r="D1074">
        <v>205780.3682</v>
      </c>
    </row>
    <row r="1075" spans="1:4" x14ac:dyDescent="0.25">
      <c r="A1075" t="str">
        <f>"01503"</f>
        <v>01503</v>
      </c>
      <c r="B1075" t="str">
        <f>"CROMATICA BLANCO SAT 4 L - EMAPI"</f>
        <v>CROMATICA BLANCO SAT 4 L - EMAPI</v>
      </c>
      <c r="C1075">
        <v>37167.79</v>
      </c>
      <c r="D1075">
        <v>44973.025900000001</v>
      </c>
    </row>
    <row r="1076" spans="1:4" x14ac:dyDescent="0.25">
      <c r="A1076" t="str">
        <f>"01519"</f>
        <v>01519</v>
      </c>
      <c r="B1076" t="str">
        <f>"CROMATICA GRIS BRILL 1 L - EMAPI"</f>
        <v>CROMATICA GRIS BRILL 1 L - EMAPI</v>
      </c>
      <c r="C1076">
        <v>11515.91</v>
      </c>
      <c r="D1076">
        <v>13934.251099999999</v>
      </c>
    </row>
    <row r="1077" spans="1:4" x14ac:dyDescent="0.25">
      <c r="A1077" t="str">
        <f>"01520"</f>
        <v>01520</v>
      </c>
      <c r="B1077" t="str">
        <f>"CROMATICA GRIS BRILL 1/2 L - EMAPI"</f>
        <v>CROMATICA GRIS BRILL 1/2 L - EMAPI</v>
      </c>
      <c r="C1077">
        <v>6471.05</v>
      </c>
      <c r="D1077">
        <v>7829.9705000000004</v>
      </c>
    </row>
    <row r="1078" spans="1:4" x14ac:dyDescent="0.25">
      <c r="A1078" t="str">
        <f>"01521"</f>
        <v>01521</v>
      </c>
      <c r="B1078" t="str">
        <f>"CROMATICA GRIS BRILL 4 L - EMAPI"</f>
        <v>CROMATICA GRIS BRILL 4 L - EMAPI</v>
      </c>
      <c r="C1078">
        <v>39738.160000000003</v>
      </c>
      <c r="D1078">
        <v>48083.173600000002</v>
      </c>
    </row>
    <row r="1079" spans="1:4" x14ac:dyDescent="0.25">
      <c r="A1079" t="str">
        <f>"01522"</f>
        <v>01522</v>
      </c>
      <c r="B1079" t="str">
        <f>"CROMATICA GRIS ESPACIAL BRILL 1 L - EMAPI"</f>
        <v>CROMATICA GRIS ESPACIAL BRILL 1 L - EMAPI</v>
      </c>
      <c r="C1079">
        <v>11515.91</v>
      </c>
      <c r="D1079">
        <v>13934.251099999999</v>
      </c>
    </row>
    <row r="1080" spans="1:4" x14ac:dyDescent="0.25">
      <c r="A1080" t="str">
        <f>"01523"</f>
        <v>01523</v>
      </c>
      <c r="B1080" t="str">
        <f>"CROMATICA GRIS ESPACIAL BRILL 1/2 L - EMAPI"</f>
        <v>CROMATICA GRIS ESPACIAL BRILL 1/2 L - EMAPI</v>
      </c>
      <c r="C1080">
        <v>6471.05</v>
      </c>
      <c r="D1080">
        <v>7829.9705000000004</v>
      </c>
    </row>
    <row r="1081" spans="1:4" x14ac:dyDescent="0.25">
      <c r="A1081" t="str">
        <f>"01524"</f>
        <v>01524</v>
      </c>
      <c r="B1081" t="str">
        <f>"CROMATICA GRIS ESPACIAL BRILL 1/4 L - EMAPI"</f>
        <v>CROMATICA GRIS ESPACIAL BRILL 1/4 L - EMAPI</v>
      </c>
      <c r="C1081">
        <v>4356.57</v>
      </c>
      <c r="D1081">
        <v>5271.4496999999992</v>
      </c>
    </row>
    <row r="1082" spans="1:4" x14ac:dyDescent="0.25">
      <c r="A1082" t="str">
        <f>"01526"</f>
        <v>01526</v>
      </c>
      <c r="B1082" t="str">
        <f>"CROMATICA GRIS ESPACIAL BRILL 4 L - EMAPI"</f>
        <v>CROMATICA GRIS ESPACIAL BRILL 4 L - EMAPI</v>
      </c>
      <c r="C1082">
        <v>39738.160000000003</v>
      </c>
      <c r="D1082">
        <v>48083.173600000002</v>
      </c>
    </row>
    <row r="1083" spans="1:4" x14ac:dyDescent="0.25">
      <c r="A1083" t="str">
        <f>"01527"</f>
        <v>01527</v>
      </c>
      <c r="B1083" t="str">
        <f>"CROMATICA GRIS HIELO BRILL 1 L - EMAPI"</f>
        <v>CROMATICA GRIS HIELO BRILL 1 L - EMAPI</v>
      </c>
      <c r="C1083">
        <v>11515.91</v>
      </c>
      <c r="D1083">
        <v>13934.251099999999</v>
      </c>
    </row>
    <row r="1084" spans="1:4" x14ac:dyDescent="0.25">
      <c r="A1084" t="str">
        <f>"01528"</f>
        <v>01528</v>
      </c>
      <c r="B1084" t="str">
        <f>"CROMATICA GRIS HIELO BRILL 1/2 L - EMAPI"</f>
        <v>CROMATICA GRIS HIELO BRILL 1/2 L - EMAPI</v>
      </c>
      <c r="C1084">
        <v>6471.05</v>
      </c>
      <c r="D1084">
        <v>7829.9705000000004</v>
      </c>
    </row>
    <row r="1085" spans="1:4" x14ac:dyDescent="0.25">
      <c r="A1085" t="str">
        <f>"01529"</f>
        <v>01529</v>
      </c>
      <c r="B1085" t="str">
        <f>"CROMATICA GRIS HIELO BRILL 4 L - EMAPI"</f>
        <v>CROMATICA GRIS HIELO BRILL 4 L - EMAPI</v>
      </c>
      <c r="C1085">
        <v>39738.160000000003</v>
      </c>
      <c r="D1085">
        <v>48083.173600000002</v>
      </c>
    </row>
    <row r="1086" spans="1:4" x14ac:dyDescent="0.25">
      <c r="A1086" t="str">
        <f>"01533"</f>
        <v>01533</v>
      </c>
      <c r="B1086" t="str">
        <f>"CROMATICA GRIS VISON BRILL 1 L - EMAPI"</f>
        <v>CROMATICA GRIS VISON BRILL 1 L - EMAPI</v>
      </c>
      <c r="C1086">
        <v>11515.91</v>
      </c>
      <c r="D1086">
        <v>13934.251099999999</v>
      </c>
    </row>
    <row r="1087" spans="1:4" x14ac:dyDescent="0.25">
      <c r="A1087" t="str">
        <f>"01542"</f>
        <v>01542</v>
      </c>
      <c r="B1087" t="str">
        <f>"CROMATICA MARFIL SEDA BRILL 1 L - EMAPI"</f>
        <v>CROMATICA MARFIL SEDA BRILL 1 L - EMAPI</v>
      </c>
      <c r="C1087">
        <v>11515.91</v>
      </c>
      <c r="D1087">
        <v>13934.251099999999</v>
      </c>
    </row>
    <row r="1088" spans="1:4" x14ac:dyDescent="0.25">
      <c r="A1088" t="str">
        <f>"01549"</f>
        <v>01549</v>
      </c>
      <c r="B1088" t="str">
        <f>"CROMATICA NARANJA BRILL 1 L - EMAPI"</f>
        <v>CROMATICA NARANJA BRILL 1 L - EMAPI</v>
      </c>
      <c r="C1088">
        <v>14335.99</v>
      </c>
      <c r="D1088">
        <v>17346.547899999998</v>
      </c>
    </row>
    <row r="1089" spans="1:4" x14ac:dyDescent="0.25">
      <c r="A1089" t="str">
        <f>"01550"</f>
        <v>01550</v>
      </c>
      <c r="B1089" t="str">
        <f>"CROMATICA NARANJA BRILL 1/2 L - EMAPI"</f>
        <v>CROMATICA NARANJA BRILL 1/2 L - EMAPI</v>
      </c>
      <c r="C1089">
        <v>8175.08</v>
      </c>
      <c r="D1089">
        <v>9891.8467999999993</v>
      </c>
    </row>
    <row r="1090" spans="1:4" x14ac:dyDescent="0.25">
      <c r="A1090" t="str">
        <f>"01551"</f>
        <v>01551</v>
      </c>
      <c r="B1090" t="str">
        <f>"CROMATICA NARANJA BRILL 4 L - EMAPI"</f>
        <v>CROMATICA NARANJA BRILL 4 L - EMAPI</v>
      </c>
      <c r="C1090">
        <v>50847.66</v>
      </c>
      <c r="D1090">
        <v>61525.668600000005</v>
      </c>
    </row>
    <row r="1091" spans="1:4" x14ac:dyDescent="0.25">
      <c r="A1091" t="str">
        <f>"01552"</f>
        <v>01552</v>
      </c>
      <c r="B1091" t="str">
        <f>"CROMATICA NEGRO BRILL 1 L - EMAPI"</f>
        <v>CROMATICA NEGRO BRILL 1 L - EMAPI</v>
      </c>
      <c r="C1091">
        <v>9456.68</v>
      </c>
      <c r="D1091">
        <v>11442.5828</v>
      </c>
    </row>
    <row r="1092" spans="1:4" x14ac:dyDescent="0.25">
      <c r="A1092" t="str">
        <f>"01553"</f>
        <v>01553</v>
      </c>
      <c r="B1092" t="str">
        <f>"CROMATICA NEGRO BRILL 1/2 L - EMAPI"</f>
        <v>CROMATICA NEGRO BRILL 1/2 L - EMAPI</v>
      </c>
      <c r="C1092">
        <v>5607.37</v>
      </c>
      <c r="D1092">
        <v>6784.9177</v>
      </c>
    </row>
    <row r="1093" spans="1:4" x14ac:dyDescent="0.25">
      <c r="A1093" t="str">
        <f>"01555"</f>
        <v>01555</v>
      </c>
      <c r="B1093" t="str">
        <f>"CROMATICA NEGRO BRILL 20 L - EMAPI"</f>
        <v>CROMATICA NEGRO BRILL 20 L - EMAPI</v>
      </c>
      <c r="C1093">
        <v>146253.29</v>
      </c>
      <c r="D1093">
        <v>176966.4809</v>
      </c>
    </row>
    <row r="1094" spans="1:4" x14ac:dyDescent="0.25">
      <c r="A1094" t="str">
        <f>"01556"</f>
        <v>01556</v>
      </c>
      <c r="B1094" t="str">
        <f>"CROMATICA NEGRO BRILL 4 L - EMAPI"</f>
        <v>CROMATICA NEGRO BRILL 4 L - EMAPI</v>
      </c>
      <c r="C1094">
        <v>31517.97</v>
      </c>
      <c r="D1094">
        <v>38136.743699999999</v>
      </c>
    </row>
    <row r="1095" spans="1:4" x14ac:dyDescent="0.25">
      <c r="A1095" t="str">
        <f>"01557"</f>
        <v>01557</v>
      </c>
      <c r="B1095" t="str">
        <f>"CROMATICA NEGRO MATE 1 L - EMAPI"</f>
        <v>CROMATICA NEGRO MATE 1 L - EMAPI</v>
      </c>
      <c r="C1095">
        <v>9456.68</v>
      </c>
      <c r="D1095">
        <v>11442.5828</v>
      </c>
    </row>
    <row r="1096" spans="1:4" x14ac:dyDescent="0.25">
      <c r="A1096" t="str">
        <f>"01558"</f>
        <v>01558</v>
      </c>
      <c r="B1096" t="str">
        <f>"CROMATICA NEGRO MATE 1/2 L - EMAPI"</f>
        <v>CROMATICA NEGRO MATE 1/2 L - EMAPI</v>
      </c>
      <c r="C1096">
        <v>5607.37</v>
      </c>
      <c r="D1096">
        <v>6784.9177</v>
      </c>
    </row>
    <row r="1097" spans="1:4" x14ac:dyDescent="0.25">
      <c r="A1097" t="str">
        <f>"01559"</f>
        <v>01559</v>
      </c>
      <c r="B1097" t="str">
        <f>"CROMATICA NEGRO MATE 20 L - EMAPI"</f>
        <v>CROMATICA NEGRO MATE 20 L - EMAPI</v>
      </c>
      <c r="C1097">
        <v>146253.29</v>
      </c>
      <c r="D1097">
        <v>176966.4809</v>
      </c>
    </row>
    <row r="1098" spans="1:4" x14ac:dyDescent="0.25">
      <c r="A1098" t="str">
        <f>"01560"</f>
        <v>01560</v>
      </c>
      <c r="B1098" t="str">
        <f>"CROMATICA NEGRO MATE 4 L - EMAPI"</f>
        <v>CROMATICA NEGRO MATE 4 L - EMAPI</v>
      </c>
      <c r="C1098">
        <v>31517.97</v>
      </c>
      <c r="D1098">
        <v>38136.743699999999</v>
      </c>
    </row>
    <row r="1099" spans="1:4" x14ac:dyDescent="0.25">
      <c r="A1099" t="str">
        <f>"01561"</f>
        <v>01561</v>
      </c>
      <c r="B1099" t="str">
        <f>"CROMATICA NEGRO SAT 1 L - EMAPI"</f>
        <v>CROMATICA NEGRO SAT 1 L - EMAPI</v>
      </c>
      <c r="C1099">
        <v>9456.68</v>
      </c>
      <c r="D1099">
        <v>11442.5828</v>
      </c>
    </row>
    <row r="1100" spans="1:4" x14ac:dyDescent="0.25">
      <c r="A1100" t="str">
        <f>"01562"</f>
        <v>01562</v>
      </c>
      <c r="B1100" t="str">
        <f>"CROMATICA NEGRO SAT 1/2 L - EMAPI"</f>
        <v>CROMATICA NEGRO SAT 1/2 L - EMAPI</v>
      </c>
      <c r="C1100">
        <v>5607.37</v>
      </c>
      <c r="D1100">
        <v>6784.9177</v>
      </c>
    </row>
    <row r="1101" spans="1:4" x14ac:dyDescent="0.25">
      <c r="A1101" t="str">
        <f>"01563"</f>
        <v>01563</v>
      </c>
      <c r="B1101" t="str">
        <f>"CROMATICA NEGRO SAT 20 L - EMAPI"</f>
        <v>CROMATICA NEGRO SAT 20 L - EMAPI</v>
      </c>
      <c r="C1101">
        <v>146253.29</v>
      </c>
      <c r="D1101">
        <v>176966.4809</v>
      </c>
    </row>
    <row r="1102" spans="1:4" x14ac:dyDescent="0.25">
      <c r="A1102" t="str">
        <f>"01564"</f>
        <v>01564</v>
      </c>
      <c r="B1102" t="str">
        <f>"CROMATICA NEGRO SAT 4 L - EMAPI"</f>
        <v>CROMATICA NEGRO SAT 4 L - EMAPI</v>
      </c>
      <c r="C1102">
        <v>31517.97</v>
      </c>
      <c r="D1102">
        <v>38136.743699999999</v>
      </c>
    </row>
    <row r="1103" spans="1:4" x14ac:dyDescent="0.25">
      <c r="A1103" t="str">
        <f>"01571"</f>
        <v>01571</v>
      </c>
      <c r="B1103" t="str">
        <f>"CROMATICA TRAFUL BRILL 1/2 L - EMAPI"</f>
        <v>CROMATICA TRAFUL BRILL 1/2 L - EMAPI</v>
      </c>
      <c r="C1103">
        <v>6471.05</v>
      </c>
      <c r="D1103">
        <v>7829.9705000000004</v>
      </c>
    </row>
    <row r="1104" spans="1:4" x14ac:dyDescent="0.25">
      <c r="A1104" t="str">
        <f>"01572"</f>
        <v>01572</v>
      </c>
      <c r="B1104" t="str">
        <f>"CROMATICA TRAFUL BRILL 1L - EMAPI"</f>
        <v>CROMATICA TRAFUL BRILL 1L - EMAPI</v>
      </c>
      <c r="C1104">
        <v>11515.91</v>
      </c>
      <c r="D1104">
        <v>13934.251099999999</v>
      </c>
    </row>
    <row r="1105" spans="1:4" x14ac:dyDescent="0.25">
      <c r="A1105" t="str">
        <f>"01573"</f>
        <v>01573</v>
      </c>
      <c r="B1105" t="str">
        <f>"CROMATICA TRAFUL BRILL 4 L - EMAPI"</f>
        <v>CROMATICA TRAFUL BRILL 4 L - EMAPI</v>
      </c>
      <c r="C1105">
        <v>39738.160000000003</v>
      </c>
      <c r="D1105">
        <v>48083.173600000002</v>
      </c>
    </row>
    <row r="1106" spans="1:4" x14ac:dyDescent="0.25">
      <c r="A1106" t="str">
        <f>"01574"</f>
        <v>01574</v>
      </c>
      <c r="B1106" t="str">
        <f>"CROMATICA VERDE CLARO BRILL 1 L - EMAPI"</f>
        <v>CROMATICA VERDE CLARO BRILL 1 L - EMAPI</v>
      </c>
      <c r="C1106">
        <v>11515.91</v>
      </c>
      <c r="D1106">
        <v>13934.251099999999</v>
      </c>
    </row>
    <row r="1107" spans="1:4" x14ac:dyDescent="0.25">
      <c r="A1107" t="str">
        <f>"01577"</f>
        <v>01577</v>
      </c>
      <c r="B1107" t="str">
        <f>"CROMATICA VERDE ESMER BRILL 1 L - EMAPI"</f>
        <v>CROMATICA VERDE ESMER BRILL 1 L - EMAPI</v>
      </c>
      <c r="C1107">
        <v>11515.91</v>
      </c>
      <c r="D1107">
        <v>13934.251099999999</v>
      </c>
    </row>
    <row r="1108" spans="1:4" x14ac:dyDescent="0.25">
      <c r="A1108" t="str">
        <f>"01579"</f>
        <v>01579</v>
      </c>
      <c r="B1108" t="str">
        <f>"CROMATICA VERDE ESMER BRILL 4 L - EMAPI"</f>
        <v>CROMATICA VERDE ESMER BRILL 4 L - EMAPI</v>
      </c>
      <c r="C1108">
        <v>39738.160000000003</v>
      </c>
      <c r="D1108">
        <v>48083.173600000002</v>
      </c>
    </row>
    <row r="1109" spans="1:4" x14ac:dyDescent="0.25">
      <c r="A1109" t="str">
        <f>"01583"</f>
        <v>01583</v>
      </c>
      <c r="B1109" t="str">
        <f>"CROMATICA VERDE INGLES BRILL 1 L - EMAPI"</f>
        <v>CROMATICA VERDE INGLES BRILL 1 L - EMAPI</v>
      </c>
      <c r="C1109">
        <v>11515.91</v>
      </c>
      <c r="D1109">
        <v>13934.251099999999</v>
      </c>
    </row>
    <row r="1110" spans="1:4" x14ac:dyDescent="0.25">
      <c r="A1110" t="str">
        <f>"01584"</f>
        <v>01584</v>
      </c>
      <c r="B1110" t="str">
        <f>"CROMATICA VERDE INGLES BRILL 1/2 L - EMAPI"</f>
        <v>CROMATICA VERDE INGLES BRILL 1/2 L - EMAPI</v>
      </c>
      <c r="C1110">
        <v>6471.05</v>
      </c>
      <c r="D1110">
        <v>7829.9705000000004</v>
      </c>
    </row>
    <row r="1111" spans="1:4" x14ac:dyDescent="0.25">
      <c r="A1111" t="str">
        <f>"01597"</f>
        <v>01597</v>
      </c>
      <c r="B1111" t="str">
        <f>"EMACRIL BLANCO 1 K - EMAPI"</f>
        <v>EMACRIL BLANCO 1 K - EMAPI</v>
      </c>
      <c r="C1111">
        <v>6117.56</v>
      </c>
      <c r="D1111">
        <v>7402.2476000000006</v>
      </c>
    </row>
    <row r="1112" spans="1:4" x14ac:dyDescent="0.25">
      <c r="A1112" t="str">
        <f>"01598"</f>
        <v>01598</v>
      </c>
      <c r="B1112" t="str">
        <f>"EMACRIL BLANCO 10 K - EMAPI"</f>
        <v>EMACRIL BLANCO 10 K - EMAPI</v>
      </c>
      <c r="C1112">
        <v>46719.58</v>
      </c>
      <c r="D1112">
        <v>56530.691800000001</v>
      </c>
    </row>
    <row r="1113" spans="1:4" x14ac:dyDescent="0.25">
      <c r="A1113" t="str">
        <f>"01599"</f>
        <v>01599</v>
      </c>
      <c r="B1113" t="str">
        <f>"EMACRIL BLANCO 20 K - EMAPI"</f>
        <v>EMACRIL BLANCO 20 K - EMAPI</v>
      </c>
      <c r="C1113">
        <v>89411.97</v>
      </c>
      <c r="D1113">
        <v>108188.4837</v>
      </c>
    </row>
    <row r="1114" spans="1:4" x14ac:dyDescent="0.25">
      <c r="A1114" t="str">
        <f>"01600"</f>
        <v>01600</v>
      </c>
      <c r="B1114" t="str">
        <f>"EMACRIL BLANCO 4 K - EMAPI"</f>
        <v>EMACRIL BLANCO 4 K - EMAPI</v>
      </c>
      <c r="C1114">
        <v>19616.93</v>
      </c>
      <c r="D1114">
        <v>23736.4853</v>
      </c>
    </row>
    <row r="1115" spans="1:4" x14ac:dyDescent="0.25">
      <c r="A1115" t="str">
        <f>"01602"</f>
        <v>01602</v>
      </c>
      <c r="B1115" t="str">
        <f>"EMACRIL BLANCO FIBRADO 20 K - EMAPI"</f>
        <v>EMACRIL BLANCO FIBRADO 20 K - EMAPI</v>
      </c>
      <c r="C1115">
        <v>89411.97</v>
      </c>
      <c r="D1115">
        <v>108188.4837</v>
      </c>
    </row>
    <row r="1116" spans="1:4" x14ac:dyDescent="0.25">
      <c r="A1116" t="str">
        <f>"01606"</f>
        <v>01606</v>
      </c>
      <c r="B1116" t="str">
        <f>"EMACRIL POLIURETANICA BLANCA 20 K - EMAPI"</f>
        <v>EMACRIL POLIURETANICA BLANCA 20 K - EMAPI</v>
      </c>
      <c r="C1116">
        <v>146480.6</v>
      </c>
      <c r="D1116">
        <v>177241.52600000001</v>
      </c>
    </row>
    <row r="1117" spans="1:4" x14ac:dyDescent="0.25">
      <c r="A1117" t="str">
        <f>"01607"</f>
        <v>01607</v>
      </c>
      <c r="B1117" t="str">
        <f>"EMACRIL POLIURETANICA BLANCA 4 K - EMAPI"</f>
        <v>EMACRIL POLIURETANICA BLANCA 4 K - EMAPI</v>
      </c>
      <c r="C1117">
        <v>30464.41</v>
      </c>
      <c r="D1117">
        <v>36861.936099999999</v>
      </c>
    </row>
    <row r="1118" spans="1:4" x14ac:dyDescent="0.25">
      <c r="A1118" t="str">
        <f>"01608"</f>
        <v>01608</v>
      </c>
      <c r="B1118" t="str">
        <f>"EMACRIL POLIURETANICA ROJO TEJA 20 K - EMAPI"</f>
        <v>EMACRIL POLIURETANICA ROJO TEJA 20 K - EMAPI</v>
      </c>
      <c r="C1118">
        <v>146480.6</v>
      </c>
      <c r="D1118">
        <v>177241.52600000001</v>
      </c>
    </row>
    <row r="1119" spans="1:4" x14ac:dyDescent="0.25">
      <c r="A1119" t="str">
        <f>"01609"</f>
        <v>01609</v>
      </c>
      <c r="B1119" t="str">
        <f>"EMACRIL POLIURETANICA ROJO TEJA 4 K - EMAPI"</f>
        <v>EMACRIL POLIURETANICA ROJO TEJA 4 K - EMAPI</v>
      </c>
      <c r="C1119">
        <v>30464.41</v>
      </c>
      <c r="D1119">
        <v>36861.936099999999</v>
      </c>
    </row>
    <row r="1120" spans="1:4" x14ac:dyDescent="0.25">
      <c r="A1120" t="str">
        <f>"01610"</f>
        <v>01610</v>
      </c>
      <c r="B1120" t="str">
        <f>"EMACRIL POLIURETANICA VERDE 20 K - EMAPI"</f>
        <v>EMACRIL POLIURETANICA VERDE 20 K - EMAPI</v>
      </c>
      <c r="C1120">
        <v>146480.6</v>
      </c>
      <c r="D1120">
        <v>177241.52600000001</v>
      </c>
    </row>
    <row r="1121" spans="1:4" x14ac:dyDescent="0.25">
      <c r="A1121" t="str">
        <f>"01611"</f>
        <v>01611</v>
      </c>
      <c r="B1121" t="str">
        <f>"EMACRIL POLIURETANICA VERDE 4 K - EMAPI"</f>
        <v>EMACRIL POLIURETANICA VERDE 4 K - EMAPI</v>
      </c>
      <c r="C1121">
        <v>30464.41</v>
      </c>
      <c r="D1121">
        <v>36861.936099999999</v>
      </c>
    </row>
    <row r="1122" spans="1:4" x14ac:dyDescent="0.25">
      <c r="A1122" t="str">
        <f>"01613"</f>
        <v>01613</v>
      </c>
      <c r="B1122" t="str">
        <f>"EMACRIL ROJO TEJA 1K - EMAPI"</f>
        <v>EMACRIL ROJO TEJA 1K - EMAPI</v>
      </c>
      <c r="C1122">
        <v>6117.56</v>
      </c>
      <c r="D1122">
        <v>7402.2476000000006</v>
      </c>
    </row>
    <row r="1123" spans="1:4" x14ac:dyDescent="0.25">
      <c r="A1123" t="str">
        <f>"01626"</f>
        <v>01626</v>
      </c>
      <c r="B1123" t="str">
        <f>"EMAPI INT - EXT POLIURETANO 1 L - EMAPI"</f>
        <v>EMAPI INT - EXT POLIURETANO 1 L - EMAPI</v>
      </c>
      <c r="C1123">
        <v>5803.84</v>
      </c>
      <c r="D1123">
        <v>7022.6463999999996</v>
      </c>
    </row>
    <row r="1124" spans="1:4" x14ac:dyDescent="0.25">
      <c r="A1124" t="str">
        <f>"01627"</f>
        <v>01627</v>
      </c>
      <c r="B1124" t="str">
        <f>"EMAPI INT - EXT POLIURETANO 10 L - EMAPI"</f>
        <v>EMAPI INT - EXT POLIURETANO 10 L - EMAPI</v>
      </c>
      <c r="C1124">
        <v>51283.42</v>
      </c>
      <c r="D1124">
        <v>62052.938199999997</v>
      </c>
    </row>
    <row r="1125" spans="1:4" x14ac:dyDescent="0.25">
      <c r="A1125" t="str">
        <f>"01628"</f>
        <v>01628</v>
      </c>
      <c r="B1125" t="str">
        <f>"EMAPI INT - EXT POLIURETANO 20 L - EMAPI"</f>
        <v>EMAPI INT - EXT POLIURETANO 20 L - EMAPI</v>
      </c>
      <c r="C1125">
        <v>100190.18</v>
      </c>
      <c r="D1125">
        <v>121230.11779999999</v>
      </c>
    </row>
    <row r="1126" spans="1:4" x14ac:dyDescent="0.25">
      <c r="A1126" t="str">
        <f>"01629"</f>
        <v>01629</v>
      </c>
      <c r="B1126" t="str">
        <f>"EMAPI INT - EXT POLIURETANO 4 L - EMAPI"</f>
        <v>EMAPI INT - EXT POLIURETANO 4 L - EMAPI</v>
      </c>
      <c r="C1126">
        <v>20855.48</v>
      </c>
      <c r="D1126">
        <v>25235.130799999999</v>
      </c>
    </row>
    <row r="1127" spans="1:4" x14ac:dyDescent="0.25">
      <c r="A1127" t="str">
        <f>"01630"</f>
        <v>01630</v>
      </c>
      <c r="B1127" t="str">
        <f>"EMAPI PILETAS BLANCO 10 L - EMAPI"</f>
        <v>EMAPI PILETAS BLANCO 10 L - EMAPI</v>
      </c>
      <c r="C1127">
        <v>68531.44</v>
      </c>
      <c r="D1127">
        <v>82923.042400000006</v>
      </c>
    </row>
    <row r="1128" spans="1:4" x14ac:dyDescent="0.25">
      <c r="A1128" t="str">
        <f>"01631"</f>
        <v>01631</v>
      </c>
      <c r="B1128" t="str">
        <f>"EMAPI PILETAS BLANCO 20 L - EMAPI"</f>
        <v>EMAPI PILETAS BLANCO 20 L - EMAPI</v>
      </c>
      <c r="C1128">
        <v>128130.46</v>
      </c>
      <c r="D1128">
        <v>155037.8566</v>
      </c>
    </row>
    <row r="1129" spans="1:4" x14ac:dyDescent="0.25">
      <c r="A1129" t="str">
        <f>"01632"</f>
        <v>01632</v>
      </c>
      <c r="B1129" t="str">
        <f>"EMAPI PILETAS BLANCO 4 L - EMAPI"</f>
        <v>EMAPI PILETAS BLANCO 4 L - EMAPI</v>
      </c>
      <c r="C1129">
        <v>28436.52</v>
      </c>
      <c r="D1129">
        <v>34408.189200000001</v>
      </c>
    </row>
    <row r="1130" spans="1:4" x14ac:dyDescent="0.25">
      <c r="A1130" t="str">
        <f>"01633"</f>
        <v>01633</v>
      </c>
      <c r="B1130" t="str">
        <f>"EMAPI PILETAS CELESTE 10 L - EMAPI"</f>
        <v>EMAPI PILETAS CELESTE 10 L - EMAPI</v>
      </c>
      <c r="C1130">
        <v>65256.56</v>
      </c>
      <c r="D1130">
        <v>78960.43759999999</v>
      </c>
    </row>
    <row r="1131" spans="1:4" x14ac:dyDescent="0.25">
      <c r="A1131" t="str">
        <f>"01634"</f>
        <v>01634</v>
      </c>
      <c r="B1131" t="str">
        <f>"EMAPI PILETAS CELESTE 20 L - EMAPI"</f>
        <v>EMAPI PILETAS CELESTE 20 L - EMAPI</v>
      </c>
      <c r="C1131">
        <v>122007.44</v>
      </c>
      <c r="D1131">
        <v>147629.0024</v>
      </c>
    </row>
    <row r="1132" spans="1:4" x14ac:dyDescent="0.25">
      <c r="A1132" t="str">
        <f>"01635"</f>
        <v>01635</v>
      </c>
      <c r="B1132" t="str">
        <f>"EMAPI PILETAS CELESTE 4 L - EMAPI"</f>
        <v>EMAPI PILETAS CELESTE 4 L - EMAPI</v>
      </c>
      <c r="C1132">
        <v>27333.09</v>
      </c>
      <c r="D1132">
        <v>33073.0389</v>
      </c>
    </row>
    <row r="1133" spans="1:4" x14ac:dyDescent="0.25">
      <c r="A1133" t="str">
        <f>"01640"</f>
        <v>01640</v>
      </c>
      <c r="B1133" t="str">
        <f>"EMAPI VIAL ALQUIDICO AMARILLO 20 L - EMAPI"</f>
        <v>EMAPI VIAL ALQUIDICO AMARILLO 20 L - EMAPI</v>
      </c>
      <c r="C1133">
        <v>314650.19</v>
      </c>
      <c r="D1133">
        <v>380726.72989999998</v>
      </c>
    </row>
    <row r="1134" spans="1:4" x14ac:dyDescent="0.25">
      <c r="A1134" t="str">
        <f>"01641"</f>
        <v>01641</v>
      </c>
      <c r="B1134" t="str">
        <f>"EMAPI VIAL ALQUIDICO AMARILLO 4 L - EMAPI"</f>
        <v>EMAPI VIAL ALQUIDICO AMARILLO 4 L - EMAPI</v>
      </c>
      <c r="C1134">
        <v>63659.26</v>
      </c>
      <c r="D1134">
        <v>77027.704599999997</v>
      </c>
    </row>
    <row r="1135" spans="1:4" x14ac:dyDescent="0.25">
      <c r="A1135" t="str">
        <f>"01642"</f>
        <v>01642</v>
      </c>
      <c r="B1135" t="str">
        <f>"EMAPI VIAL ALQUIDICO BLANCO 20 L - EMAPI"</f>
        <v>EMAPI VIAL ALQUIDICO BLANCO 20 L - EMAPI</v>
      </c>
      <c r="C1135">
        <v>304984.77</v>
      </c>
      <c r="D1135">
        <v>369031.57170000003</v>
      </c>
    </row>
    <row r="1136" spans="1:4" x14ac:dyDescent="0.25">
      <c r="A1136" t="str">
        <f>"01643"</f>
        <v>01643</v>
      </c>
      <c r="B1136" t="str">
        <f>"EMAPI VIAL ALQUIDICO BLANCO 4 L - EMAPI"</f>
        <v>EMAPI VIAL ALQUIDICO BLANCO 4 L - EMAPI</v>
      </c>
      <c r="C1136">
        <v>61205.18</v>
      </c>
      <c r="D1136">
        <v>74058.267800000001</v>
      </c>
    </row>
    <row r="1137" spans="1:4" x14ac:dyDescent="0.25">
      <c r="A1137" t="str">
        <f>"01644"</f>
        <v>01644</v>
      </c>
      <c r="B1137" t="str">
        <f>"EMAPI VIAL AMARILLO 20 L - EMAPI"</f>
        <v>EMAPI VIAL AMARILLO 20 L - EMAPI</v>
      </c>
      <c r="C1137">
        <v>359084.35</v>
      </c>
      <c r="D1137">
        <v>434492.06349999993</v>
      </c>
    </row>
    <row r="1138" spans="1:4" x14ac:dyDescent="0.25">
      <c r="A1138" t="str">
        <f>"01645"</f>
        <v>01645</v>
      </c>
      <c r="B1138" t="str">
        <f>"EMAPI VIAL AMARILLO 4 L - EMAPI"</f>
        <v>EMAPI VIAL AMARILLO 4 L - EMAPI</v>
      </c>
      <c r="C1138">
        <v>76382</v>
      </c>
      <c r="D1138">
        <v>92422.22</v>
      </c>
    </row>
    <row r="1139" spans="1:4" x14ac:dyDescent="0.25">
      <c r="A1139" t="str">
        <f>"01648"</f>
        <v>01648</v>
      </c>
      <c r="B1139" t="str">
        <f>"ENDUIDO 1 L - EMAPI"</f>
        <v>ENDUIDO 1 L - EMAPI</v>
      </c>
      <c r="C1139">
        <v>3940.66</v>
      </c>
      <c r="D1139">
        <v>4768.1985999999997</v>
      </c>
    </row>
    <row r="1140" spans="1:4" x14ac:dyDescent="0.25">
      <c r="A1140" t="str">
        <f>"01649"</f>
        <v>01649</v>
      </c>
      <c r="B1140" t="str">
        <f>"ENDUIDO 10 L - EMAPI"</f>
        <v>ENDUIDO 10 L - EMAPI</v>
      </c>
      <c r="C1140">
        <v>24946.05</v>
      </c>
      <c r="D1140">
        <v>30184.720499999999</v>
      </c>
    </row>
    <row r="1141" spans="1:4" x14ac:dyDescent="0.25">
      <c r="A1141" t="str">
        <f>"01650"</f>
        <v>01650</v>
      </c>
      <c r="B1141" t="str">
        <f>"ENDUIDO 20 L - EMAPI"</f>
        <v>ENDUIDO 20 L - EMAPI</v>
      </c>
      <c r="C1141">
        <v>45479.24</v>
      </c>
      <c r="D1141">
        <v>55029.880399999995</v>
      </c>
    </row>
    <row r="1142" spans="1:4" x14ac:dyDescent="0.25">
      <c r="A1142" t="str">
        <f>"01651"</f>
        <v>01651</v>
      </c>
      <c r="B1142" t="str">
        <f>"ENDUIDO 4 L - EMAPI"</f>
        <v>ENDUIDO 4 L - EMAPI</v>
      </c>
      <c r="C1142">
        <v>10674.76</v>
      </c>
      <c r="D1142">
        <v>12916.4596</v>
      </c>
    </row>
    <row r="1143" spans="1:4" x14ac:dyDescent="0.25">
      <c r="A1143" t="str">
        <f>"01664"</f>
        <v>01664</v>
      </c>
      <c r="B1143" t="str">
        <f>"HD INTERIOR MATE 1 L - EMAPI"</f>
        <v>HD INTERIOR MATE 1 L - EMAPI</v>
      </c>
      <c r="C1143">
        <v>7155.16</v>
      </c>
      <c r="D1143">
        <v>8657.7435999999998</v>
      </c>
    </row>
    <row r="1144" spans="1:4" x14ac:dyDescent="0.25">
      <c r="A1144" t="str">
        <f>"01665"</f>
        <v>01665</v>
      </c>
      <c r="B1144" t="str">
        <f>"HD INTERIOR MATE 10 L - EMAPI"</f>
        <v>HD INTERIOR MATE 10 L - EMAPI</v>
      </c>
      <c r="C1144">
        <v>56460.38</v>
      </c>
      <c r="D1144">
        <v>68317.059799999988</v>
      </c>
    </row>
    <row r="1145" spans="1:4" x14ac:dyDescent="0.25">
      <c r="A1145" t="str">
        <f>"01666"</f>
        <v>01666</v>
      </c>
      <c r="B1145" t="str">
        <f>"HD INTERIOR MATE 20 L - EMAPI"</f>
        <v>HD INTERIOR MATE 20 L - EMAPI</v>
      </c>
      <c r="C1145">
        <v>110390.27</v>
      </c>
      <c r="D1145">
        <v>133572.2267</v>
      </c>
    </row>
    <row r="1146" spans="1:4" x14ac:dyDescent="0.25">
      <c r="A1146" t="str">
        <f>"01667"</f>
        <v>01667</v>
      </c>
      <c r="B1146" t="str">
        <f>"HD INTERIOR MATE 4 L - EMAPI"</f>
        <v>HD INTERIOR MATE 4 L - EMAPI</v>
      </c>
      <c r="C1146">
        <v>25273.37</v>
      </c>
      <c r="D1146">
        <v>30580.777699999999</v>
      </c>
    </row>
    <row r="1147" spans="1:4" x14ac:dyDescent="0.25">
      <c r="A1147" t="str">
        <f>"01668"</f>
        <v>01668</v>
      </c>
      <c r="B1147" t="str">
        <f>"HD INTERIOR SAT 1 L - EMAPI"</f>
        <v>HD INTERIOR SAT 1 L - EMAPI</v>
      </c>
      <c r="C1147">
        <v>10941.35</v>
      </c>
      <c r="D1147">
        <v>13239.0335</v>
      </c>
    </row>
    <row r="1148" spans="1:4" x14ac:dyDescent="0.25">
      <c r="A1148" t="str">
        <f>"01669"</f>
        <v>01669</v>
      </c>
      <c r="B1148" t="str">
        <f>"HD INTERIOR SAT 10 L - EMAPI"</f>
        <v>HD INTERIOR SAT 10 L - EMAPI</v>
      </c>
      <c r="C1148">
        <v>94066.53</v>
      </c>
      <c r="D1148">
        <v>113820.50129999999</v>
      </c>
    </row>
    <row r="1149" spans="1:4" x14ac:dyDescent="0.25">
      <c r="A1149" t="str">
        <f>"01670"</f>
        <v>01670</v>
      </c>
      <c r="B1149" t="str">
        <f>"HD INTERIOR SAT 20 L - EMAPI"</f>
        <v>HD INTERIOR SAT 20 L - EMAPI</v>
      </c>
      <c r="C1149">
        <v>188376.72</v>
      </c>
      <c r="D1149">
        <v>227935.83119999999</v>
      </c>
    </row>
    <row r="1150" spans="1:4" x14ac:dyDescent="0.25">
      <c r="A1150" t="str">
        <f>"01671"</f>
        <v>01671</v>
      </c>
      <c r="B1150" t="str">
        <f>"HD INTERIOR SAT 4 L - EMAPI"</f>
        <v>HD INTERIOR SAT 4 L - EMAPI</v>
      </c>
      <c r="C1150">
        <v>40073.85</v>
      </c>
      <c r="D1150">
        <v>48489.358499999995</v>
      </c>
    </row>
    <row r="1151" spans="1:4" x14ac:dyDescent="0.25">
      <c r="A1151" t="str">
        <f>"01672"</f>
        <v>01672</v>
      </c>
      <c r="B1151" t="str">
        <f>"LOOK FRENTES AMARILLO 1 L - EMAPI"</f>
        <v>LOOK FRENTES AMARILLO 1 L - EMAPI</v>
      </c>
      <c r="C1151">
        <v>8889.2800000000007</v>
      </c>
      <c r="D1151">
        <v>10756.0288</v>
      </c>
    </row>
    <row r="1152" spans="1:4" x14ac:dyDescent="0.25">
      <c r="A1152" t="str">
        <f>"01675"</f>
        <v>01675</v>
      </c>
      <c r="B1152" t="str">
        <f>"LOOK FRENTES AMARILLO 4 L - EMAPI"</f>
        <v>LOOK FRENTES AMARILLO 4 L - EMAPI</v>
      </c>
      <c r="C1152">
        <v>29671.919999999998</v>
      </c>
      <c r="D1152">
        <v>35903.023199999996</v>
      </c>
    </row>
    <row r="1153" spans="1:4" x14ac:dyDescent="0.25">
      <c r="A1153" t="str">
        <f>"01676"</f>
        <v>01676</v>
      </c>
      <c r="B1153" t="str">
        <f>"LOOK FRENTES AZUL 1 L - EMAPI"</f>
        <v>LOOK FRENTES AZUL 1 L - EMAPI</v>
      </c>
      <c r="C1153">
        <v>8454.23</v>
      </c>
      <c r="D1153">
        <v>10229.618299999998</v>
      </c>
    </row>
    <row r="1154" spans="1:4" x14ac:dyDescent="0.25">
      <c r="A1154" t="str">
        <f>"01677"</f>
        <v>01677</v>
      </c>
      <c r="B1154" t="str">
        <f>"LOOK FRENTES AZUL 10 L - EMAPI"</f>
        <v>LOOK FRENTES AZUL 10 L - EMAPI</v>
      </c>
      <c r="C1154">
        <v>69227.88</v>
      </c>
      <c r="D1154">
        <v>83765.734800000006</v>
      </c>
    </row>
    <row r="1155" spans="1:4" x14ac:dyDescent="0.25">
      <c r="A1155" t="str">
        <f>"01678"</f>
        <v>01678</v>
      </c>
      <c r="B1155" t="str">
        <f>"LOOK FRENTES AZUL 20 L - EMAPI"</f>
        <v>LOOK FRENTES AZUL 20 L - EMAPI</v>
      </c>
      <c r="C1155">
        <v>132848.92000000001</v>
      </c>
      <c r="D1155">
        <v>160747.19320000001</v>
      </c>
    </row>
    <row r="1156" spans="1:4" x14ac:dyDescent="0.25">
      <c r="A1156" t="str">
        <f>"01679"</f>
        <v>01679</v>
      </c>
      <c r="B1156" t="str">
        <f>"LOOK FRENTES AZUL 4 L - EMAPI"</f>
        <v>LOOK FRENTES AZUL 4 L - EMAPI</v>
      </c>
      <c r="C1156">
        <v>27643.69</v>
      </c>
      <c r="D1156">
        <v>33448.8649</v>
      </c>
    </row>
    <row r="1157" spans="1:4" x14ac:dyDescent="0.25">
      <c r="A1157" t="str">
        <f>"01680"</f>
        <v>01680</v>
      </c>
      <c r="B1157" t="str">
        <f>"LOOK FRENTES BLANCO 1 L - EMAPI"</f>
        <v>LOOK FRENTES BLANCO 1 L - EMAPI</v>
      </c>
      <c r="C1157">
        <v>6546.44</v>
      </c>
      <c r="D1157">
        <v>7921.192399999999</v>
      </c>
    </row>
    <row r="1158" spans="1:4" x14ac:dyDescent="0.25">
      <c r="A1158" t="str">
        <f>"01681"</f>
        <v>01681</v>
      </c>
      <c r="B1158" t="str">
        <f>"LOOK FRENTES BLANCO 10 L - EMAPI"</f>
        <v>LOOK FRENTES BLANCO 10 L - EMAPI</v>
      </c>
      <c r="C1158">
        <v>52381.67</v>
      </c>
      <c r="D1158">
        <v>63381.820699999997</v>
      </c>
    </row>
    <row r="1159" spans="1:4" x14ac:dyDescent="0.25">
      <c r="A1159" t="str">
        <f>"01682"</f>
        <v>01682</v>
      </c>
      <c r="B1159" t="str">
        <f>"LOOK FRENTES BLANCO 20 L - EMAPI"</f>
        <v>LOOK FRENTES BLANCO 20 L - EMAPI</v>
      </c>
      <c r="C1159">
        <v>99626.8</v>
      </c>
      <c r="D1159">
        <v>120548.428</v>
      </c>
    </row>
    <row r="1160" spans="1:4" x14ac:dyDescent="0.25">
      <c r="A1160" t="str">
        <f>"01683"</f>
        <v>01683</v>
      </c>
      <c r="B1160" t="str">
        <f>"LOOK FRENTES BLANCO 4 L - EMAPI"</f>
        <v>LOOK FRENTES BLANCO 4 L - EMAPI</v>
      </c>
      <c r="C1160">
        <v>20917.04</v>
      </c>
      <c r="D1160">
        <v>25309.618399999999</v>
      </c>
    </row>
    <row r="1161" spans="1:4" x14ac:dyDescent="0.25">
      <c r="A1161" t="str">
        <f>"01684"</f>
        <v>01684</v>
      </c>
      <c r="B1161" t="str">
        <f>"LOOK FRENTES BORGONA 1 L - EMAPI"</f>
        <v>LOOK FRENTES BORGONA 1 L - EMAPI</v>
      </c>
      <c r="C1161">
        <v>6775.45</v>
      </c>
      <c r="D1161">
        <v>8198.2945</v>
      </c>
    </row>
    <row r="1162" spans="1:4" x14ac:dyDescent="0.25">
      <c r="A1162" t="str">
        <f>"01686"</f>
        <v>01686</v>
      </c>
      <c r="B1162" t="str">
        <f>"LOOK FRENTES BORGONA 20 L - EMAPI"</f>
        <v>LOOK FRENTES BORGONA 20 L - EMAPI</v>
      </c>
      <c r="C1162">
        <v>97939.51</v>
      </c>
      <c r="D1162">
        <v>118506.80709999999</v>
      </c>
    </row>
    <row r="1163" spans="1:4" x14ac:dyDescent="0.25">
      <c r="A1163" t="str">
        <f>"01687"</f>
        <v>01687</v>
      </c>
      <c r="B1163" t="str">
        <f>"LOOK FRENTES BORGONA 4 L - EMAPI"</f>
        <v>LOOK FRENTES BORGONA 4 L - EMAPI</v>
      </c>
      <c r="C1163">
        <v>21080.79</v>
      </c>
      <c r="D1163">
        <v>25507.7559</v>
      </c>
    </row>
    <row r="1164" spans="1:4" x14ac:dyDescent="0.25">
      <c r="A1164" t="str">
        <f>"01688"</f>
        <v>01688</v>
      </c>
      <c r="B1164" t="str">
        <f>"LOOK FRENTES CEMENTO 1 L - EMAPI"</f>
        <v>LOOK FRENTES CEMENTO 1 L - EMAPI</v>
      </c>
      <c r="C1164">
        <v>6775.45</v>
      </c>
      <c r="D1164">
        <v>8198.2945</v>
      </c>
    </row>
    <row r="1165" spans="1:4" x14ac:dyDescent="0.25">
      <c r="A1165" t="str">
        <f>"01689"</f>
        <v>01689</v>
      </c>
      <c r="B1165" t="str">
        <f>"LOOK FRENTES CEMENTO 10 L - EMAPI"</f>
        <v>LOOK FRENTES CEMENTO 10 L - EMAPI</v>
      </c>
      <c r="C1165">
        <v>52232.09</v>
      </c>
      <c r="D1165">
        <v>63200.828899999993</v>
      </c>
    </row>
    <row r="1166" spans="1:4" x14ac:dyDescent="0.25">
      <c r="A1166" t="str">
        <f>"01690"</f>
        <v>01690</v>
      </c>
      <c r="B1166" t="str">
        <f>"LOOK FRENTES CEMENTO 20 L - EMAPI"</f>
        <v>LOOK FRENTES CEMENTO 20 L - EMAPI</v>
      </c>
      <c r="C1166">
        <v>97939.51</v>
      </c>
      <c r="D1166">
        <v>118506.80709999999</v>
      </c>
    </row>
    <row r="1167" spans="1:4" x14ac:dyDescent="0.25">
      <c r="A1167" t="str">
        <f>"01691"</f>
        <v>01691</v>
      </c>
      <c r="B1167" t="str">
        <f>"LOOK FRENTES CEMENTO 4 L - EMAPI"</f>
        <v>LOOK FRENTES CEMENTO 4 L - EMAPI</v>
      </c>
      <c r="C1167">
        <v>21080.79</v>
      </c>
      <c r="D1167">
        <v>25507.7559</v>
      </c>
    </row>
    <row r="1168" spans="1:4" x14ac:dyDescent="0.25">
      <c r="A1168" t="str">
        <f>"01692"</f>
        <v>01692</v>
      </c>
      <c r="B1168" t="str">
        <f>"LOOK FRENTES GRIS 1 L - EMAPI"</f>
        <v>LOOK FRENTES GRIS 1 L - EMAPI</v>
      </c>
      <c r="C1168">
        <v>6775.45</v>
      </c>
      <c r="D1168">
        <v>8198.2945</v>
      </c>
    </row>
    <row r="1169" spans="1:4" x14ac:dyDescent="0.25">
      <c r="A1169" t="str">
        <f>"01693"</f>
        <v>01693</v>
      </c>
      <c r="B1169" t="str">
        <f>"LOOK FRENTES GRIS 10 L - EMAPI"</f>
        <v>LOOK FRENTES GRIS 10 L - EMAPI</v>
      </c>
      <c r="C1169">
        <v>52232.09</v>
      </c>
      <c r="D1169">
        <v>63200.828899999993</v>
      </c>
    </row>
    <row r="1170" spans="1:4" x14ac:dyDescent="0.25">
      <c r="A1170" t="str">
        <f>"01694"</f>
        <v>01694</v>
      </c>
      <c r="B1170" t="str">
        <f>"LOOK FRENTES GRIS 20 L - EMAPI"</f>
        <v>LOOK FRENTES GRIS 20 L - EMAPI</v>
      </c>
      <c r="C1170">
        <v>97939.51</v>
      </c>
      <c r="D1170">
        <v>118506.80709999999</v>
      </c>
    </row>
    <row r="1171" spans="1:4" x14ac:dyDescent="0.25">
      <c r="A1171" t="str">
        <f>"01695"</f>
        <v>01695</v>
      </c>
      <c r="B1171" t="str">
        <f>"LOOK FRENTES GRIS 4 L - EMAPI"</f>
        <v>LOOK FRENTES GRIS 4 L - EMAPI</v>
      </c>
      <c r="C1171">
        <v>21080.79</v>
      </c>
      <c r="D1171">
        <v>25507.7559</v>
      </c>
    </row>
    <row r="1172" spans="1:4" x14ac:dyDescent="0.25">
      <c r="A1172" t="str">
        <f>"01696"</f>
        <v>01696</v>
      </c>
      <c r="B1172" t="str">
        <f>"LOOK FRENTES MARRON 1 L - EMAPI"</f>
        <v>LOOK FRENTES MARRON 1 L - EMAPI</v>
      </c>
      <c r="C1172">
        <v>6775.45</v>
      </c>
      <c r="D1172">
        <v>8198.2945</v>
      </c>
    </row>
    <row r="1173" spans="1:4" x14ac:dyDescent="0.25">
      <c r="A1173" t="str">
        <f>"01699"</f>
        <v>01699</v>
      </c>
      <c r="B1173" t="str">
        <f>"LOOK FRENTES MARRON 4 L - EMAPI"</f>
        <v>LOOK FRENTES MARRON 4 L - EMAPI</v>
      </c>
      <c r="C1173">
        <v>21080.79</v>
      </c>
      <c r="D1173">
        <v>25507.7559</v>
      </c>
    </row>
    <row r="1174" spans="1:4" x14ac:dyDescent="0.25">
      <c r="A1174" t="str">
        <f>"01700"</f>
        <v>01700</v>
      </c>
      <c r="B1174" t="str">
        <f>"LOOK FRENTES NEGRO 1 L - EMAPI"</f>
        <v>LOOK FRENTES NEGRO 1 L - EMAPI</v>
      </c>
      <c r="C1174">
        <v>6775.45</v>
      </c>
      <c r="D1174">
        <v>8198.2945</v>
      </c>
    </row>
    <row r="1175" spans="1:4" x14ac:dyDescent="0.25">
      <c r="A1175" t="str">
        <f>"01701"</f>
        <v>01701</v>
      </c>
      <c r="B1175" t="str">
        <f>"LOOK FRENTES NEGRO 10 L - EMAPI"</f>
        <v>LOOK FRENTES NEGRO 10 L - EMAPI</v>
      </c>
      <c r="C1175">
        <v>52232.09</v>
      </c>
      <c r="D1175">
        <v>63200.828899999993</v>
      </c>
    </row>
    <row r="1176" spans="1:4" x14ac:dyDescent="0.25">
      <c r="A1176" t="str">
        <f>"01702"</f>
        <v>01702</v>
      </c>
      <c r="B1176" t="str">
        <f>"LOOK FRENTES NEGRO 20 L - EMAPI"</f>
        <v>LOOK FRENTES NEGRO 20 L - EMAPI</v>
      </c>
      <c r="C1176">
        <v>97939.51</v>
      </c>
      <c r="D1176">
        <v>118506.80709999999</v>
      </c>
    </row>
    <row r="1177" spans="1:4" x14ac:dyDescent="0.25">
      <c r="A1177" t="str">
        <f>"01703"</f>
        <v>01703</v>
      </c>
      <c r="B1177" t="str">
        <f>"LOOK FRENTES NEGRO 4 L - EMAPI"</f>
        <v>LOOK FRENTES NEGRO 4 L - EMAPI</v>
      </c>
      <c r="C1177">
        <v>21080.79</v>
      </c>
      <c r="D1177">
        <v>25507.7559</v>
      </c>
    </row>
    <row r="1178" spans="1:4" x14ac:dyDescent="0.25">
      <c r="A1178" t="str">
        <f>"01704"</f>
        <v>01704</v>
      </c>
      <c r="B1178" t="str">
        <f>"LOOK FRENTES OCRE 1 L - EMAPI"</f>
        <v>LOOK FRENTES OCRE 1 L - EMAPI</v>
      </c>
      <c r="C1178">
        <v>6775.45</v>
      </c>
      <c r="D1178">
        <v>8198.2945</v>
      </c>
    </row>
    <row r="1179" spans="1:4" x14ac:dyDescent="0.25">
      <c r="A1179" t="str">
        <f>"01706"</f>
        <v>01706</v>
      </c>
      <c r="B1179" t="str">
        <f>"LOOK FRENTES OCRE 20 L - EMAPI"</f>
        <v>LOOK FRENTES OCRE 20 L - EMAPI</v>
      </c>
      <c r="C1179">
        <v>97939.51</v>
      </c>
      <c r="D1179">
        <v>118506.80709999999</v>
      </c>
    </row>
    <row r="1180" spans="1:4" x14ac:dyDescent="0.25">
      <c r="A1180" t="str">
        <f>"01707"</f>
        <v>01707</v>
      </c>
      <c r="B1180" t="str">
        <f>"LOOK FRENTES OCRE 4 L - EMAPI"</f>
        <v>LOOK FRENTES OCRE 4 L - EMAPI</v>
      </c>
      <c r="C1180">
        <v>21080.79</v>
      </c>
      <c r="D1180">
        <v>25507.7559</v>
      </c>
    </row>
    <row r="1181" spans="1:4" x14ac:dyDescent="0.25">
      <c r="A1181" t="str">
        <f>"01708"</f>
        <v>01708</v>
      </c>
      <c r="B1181" t="str">
        <f>"LOOK FRENTES ROJO 1 L - EMAPI"</f>
        <v>LOOK FRENTES ROJO 1 L - EMAPI</v>
      </c>
      <c r="C1181">
        <v>8774.31</v>
      </c>
      <c r="D1181">
        <v>10616.915099999998</v>
      </c>
    </row>
    <row r="1182" spans="1:4" x14ac:dyDescent="0.25">
      <c r="A1182" t="str">
        <f>"01709"</f>
        <v>01709</v>
      </c>
      <c r="B1182" t="str">
        <f>"LOOK FRENTES ROJO 10 L - EMAPI"</f>
        <v>LOOK FRENTES ROJO 10 L - EMAPI</v>
      </c>
      <c r="C1182">
        <v>73262.210000000006</v>
      </c>
      <c r="D1182">
        <v>88647.27410000001</v>
      </c>
    </row>
    <row r="1183" spans="1:4" x14ac:dyDescent="0.25">
      <c r="A1183" t="str">
        <f>"01710"</f>
        <v>01710</v>
      </c>
      <c r="B1183" t="str">
        <f>"LOOK FRENTES ROJO 20 L - EMAPI"</f>
        <v>LOOK FRENTES ROJO 20 L - EMAPI</v>
      </c>
      <c r="C1183">
        <v>141543.04999999999</v>
      </c>
      <c r="D1183">
        <v>171267.09049999999</v>
      </c>
    </row>
    <row r="1184" spans="1:4" x14ac:dyDescent="0.25">
      <c r="A1184" t="str">
        <f>"01711"</f>
        <v>01711</v>
      </c>
      <c r="B1184" t="str">
        <f>"LOOK FRENTES ROJO 4 L - EMAPI"</f>
        <v>LOOK FRENTES ROJO 4 L - EMAPI</v>
      </c>
      <c r="C1184">
        <v>29421.95</v>
      </c>
      <c r="D1184">
        <v>35600.559500000003</v>
      </c>
    </row>
    <row r="1185" spans="1:4" x14ac:dyDescent="0.25">
      <c r="A1185" t="str">
        <f>"01712"</f>
        <v>01712</v>
      </c>
      <c r="B1185" t="str">
        <f>"LOOK FRENTES ROJO TEJA 1 L - EMAPI"</f>
        <v>LOOK FRENTES ROJO TEJA 1 L - EMAPI</v>
      </c>
      <c r="C1185">
        <v>6775.45</v>
      </c>
      <c r="D1185">
        <v>8198.2945</v>
      </c>
    </row>
    <row r="1186" spans="1:4" x14ac:dyDescent="0.25">
      <c r="A1186" t="str">
        <f>"01714"</f>
        <v>01714</v>
      </c>
      <c r="B1186" t="str">
        <f>"LOOK FRENTES ROJO TEJA 20 L - EMAPI"</f>
        <v>LOOK FRENTES ROJO TEJA 20 L - EMAPI</v>
      </c>
      <c r="C1186">
        <v>97939.51</v>
      </c>
      <c r="D1186">
        <v>118506.80709999999</v>
      </c>
    </row>
    <row r="1187" spans="1:4" x14ac:dyDescent="0.25">
      <c r="A1187" t="str">
        <f>"01715"</f>
        <v>01715</v>
      </c>
      <c r="B1187" t="str">
        <f>"LOOK FRENTES ROJO TEJA 4 L - EMAPI"</f>
        <v>LOOK FRENTES ROJO TEJA 4 L - EMAPI</v>
      </c>
      <c r="C1187">
        <v>21080.79</v>
      </c>
      <c r="D1187">
        <v>25507.7559</v>
      </c>
    </row>
    <row r="1188" spans="1:4" x14ac:dyDescent="0.25">
      <c r="A1188" t="str">
        <f>"01716"</f>
        <v>01716</v>
      </c>
      <c r="B1188" t="str">
        <f>"LOOK FRENTES VERDE 1 L - EMAPI"</f>
        <v>LOOK FRENTES VERDE 1 L - EMAPI</v>
      </c>
      <c r="C1188">
        <v>6775.45</v>
      </c>
      <c r="D1188">
        <v>8198.2945</v>
      </c>
    </row>
    <row r="1189" spans="1:4" x14ac:dyDescent="0.25">
      <c r="A1189" t="str">
        <f>"01719"</f>
        <v>01719</v>
      </c>
      <c r="B1189" t="str">
        <f>"LOOK FRENTES VERDE 4 L - EMAPI"</f>
        <v>LOOK FRENTES VERDE 4 L - EMAPI</v>
      </c>
      <c r="C1189">
        <v>21080.79</v>
      </c>
      <c r="D1189">
        <v>25507.7559</v>
      </c>
    </row>
    <row r="1190" spans="1:4" x14ac:dyDescent="0.25">
      <c r="A1190" t="str">
        <f>"01720"</f>
        <v>01720</v>
      </c>
      <c r="B1190" t="str">
        <f>"LOOK INTERIOR NUEVA FORMULA 1 L - EMAPI"</f>
        <v>LOOK INTERIOR NUEVA FORMULA 1 L - EMAPI</v>
      </c>
      <c r="C1190">
        <v>4972.1899999999996</v>
      </c>
      <c r="D1190">
        <v>6016.3498999999993</v>
      </c>
    </row>
    <row r="1191" spans="1:4" x14ac:dyDescent="0.25">
      <c r="A1191" t="str">
        <f>"01721"</f>
        <v>01721</v>
      </c>
      <c r="B1191" t="str">
        <f>"LOOK INTERIOR NUEVA FORMULA 10 L - EMAPI"</f>
        <v>LOOK INTERIOR NUEVA FORMULA 10 L - EMAPI</v>
      </c>
      <c r="C1191">
        <v>40506.559999999998</v>
      </c>
      <c r="D1191">
        <v>49012.937599999997</v>
      </c>
    </row>
    <row r="1192" spans="1:4" x14ac:dyDescent="0.25">
      <c r="A1192" t="str">
        <f>"01723"</f>
        <v>01723</v>
      </c>
      <c r="B1192" t="str">
        <f>"LOOK INTERIOR NUEVA FORMULA 4 L - EMAPI"</f>
        <v>LOOK INTERIOR NUEVA FORMULA 4 L - EMAPI</v>
      </c>
      <c r="C1192">
        <v>16826.2</v>
      </c>
      <c r="D1192">
        <v>20359.702000000001</v>
      </c>
    </row>
    <row r="1193" spans="1:4" x14ac:dyDescent="0.25">
      <c r="A1193" t="str">
        <f>"01726"</f>
        <v>01726</v>
      </c>
      <c r="B1193" t="str">
        <f>"LOOK TENDENCIAS ARANDANO 4 L - EMAPI"</f>
        <v>LOOK TENDENCIAS ARANDANO 4 L - EMAPI</v>
      </c>
      <c r="C1193">
        <v>38247.33</v>
      </c>
      <c r="D1193">
        <v>46279.2693</v>
      </c>
    </row>
    <row r="1194" spans="1:4" x14ac:dyDescent="0.25">
      <c r="A1194" t="str">
        <f>"01727"</f>
        <v>01727</v>
      </c>
      <c r="B1194" t="str">
        <f>"LOOK TENDENCIAS AVELLANA 1 L - EMAPI"</f>
        <v>LOOK TENDENCIAS AVELLANA 1 L - EMAPI</v>
      </c>
      <c r="C1194">
        <v>10112.280000000001</v>
      </c>
      <c r="D1194">
        <v>12235.8588</v>
      </c>
    </row>
    <row r="1195" spans="1:4" x14ac:dyDescent="0.25">
      <c r="A1195" t="str">
        <f>"01729"</f>
        <v>01729</v>
      </c>
      <c r="B1195" t="str">
        <f>"LOOK TENDENCIAS AVELLANA 4 L - EMAPI"</f>
        <v>LOOK TENDENCIAS AVELLANA 4 L - EMAPI</v>
      </c>
      <c r="C1195">
        <v>38247.33</v>
      </c>
      <c r="D1195">
        <v>46279.2693</v>
      </c>
    </row>
    <row r="1196" spans="1:4" x14ac:dyDescent="0.25">
      <c r="A1196" t="str">
        <f>"01730"</f>
        <v>01730</v>
      </c>
      <c r="B1196" t="str">
        <f>"LOOK TENDENCIAS AZUL TORMENTA 1 L - EMAPI"</f>
        <v>LOOK TENDENCIAS AZUL TORMENTA 1 L - EMAPI</v>
      </c>
      <c r="C1196">
        <v>10112.280000000001</v>
      </c>
      <c r="D1196">
        <v>12235.8588</v>
      </c>
    </row>
    <row r="1197" spans="1:4" x14ac:dyDescent="0.25">
      <c r="A1197" t="str">
        <f>"01732"</f>
        <v>01732</v>
      </c>
      <c r="B1197" t="str">
        <f>"LOOK TENDENCIAS AZUL TORMENTA 4 L - EMAPI"</f>
        <v>LOOK TENDENCIAS AZUL TORMENTA 4 L - EMAPI</v>
      </c>
      <c r="C1197">
        <v>38247.33</v>
      </c>
      <c r="D1197">
        <v>46279.2693</v>
      </c>
    </row>
    <row r="1198" spans="1:4" x14ac:dyDescent="0.25">
      <c r="A1198" t="str">
        <f>"01734"</f>
        <v>01734</v>
      </c>
      <c r="B1198" t="str">
        <f>"LOOK TENDENCIAS GIRASOL 1L - EMAPI"</f>
        <v>LOOK TENDENCIAS GIRASOL 1L - EMAPI</v>
      </c>
      <c r="C1198">
        <v>10112.280000000001</v>
      </c>
      <c r="D1198">
        <v>12235.8588</v>
      </c>
    </row>
    <row r="1199" spans="1:4" x14ac:dyDescent="0.25">
      <c r="A1199" t="str">
        <f>"01735"</f>
        <v>01735</v>
      </c>
      <c r="B1199" t="str">
        <f>"LOOK TENDENCIAS GIRASOL 4 L - EMAPI"</f>
        <v>LOOK TENDENCIAS GIRASOL 4 L - EMAPI</v>
      </c>
      <c r="C1199">
        <v>38247.33</v>
      </c>
      <c r="D1199">
        <v>46279.2693</v>
      </c>
    </row>
    <row r="1200" spans="1:4" x14ac:dyDescent="0.25">
      <c r="A1200" t="str">
        <f>"01736"</f>
        <v>01736</v>
      </c>
      <c r="B1200" t="str">
        <f>"LOOK TENDENCIAS GRIS ACERO 1 L - EMAPI"</f>
        <v>LOOK TENDENCIAS GRIS ACERO 1 L - EMAPI</v>
      </c>
      <c r="C1200">
        <v>10112.280000000001</v>
      </c>
      <c r="D1200">
        <v>12235.8588</v>
      </c>
    </row>
    <row r="1201" spans="1:4" x14ac:dyDescent="0.25">
      <c r="A1201" t="str">
        <f>"01738"</f>
        <v>01738</v>
      </c>
      <c r="B1201" t="str">
        <f>"LOOK TENDENCIAS GRIS ACERO 4 L - EMAPI"</f>
        <v>LOOK TENDENCIAS GRIS ACERO 4 L - EMAPI</v>
      </c>
      <c r="C1201">
        <v>38247.33</v>
      </c>
      <c r="D1201">
        <v>46279.2693</v>
      </c>
    </row>
    <row r="1202" spans="1:4" x14ac:dyDescent="0.25">
      <c r="A1202" t="str">
        <f>"01740"</f>
        <v>01740</v>
      </c>
      <c r="B1202" t="str">
        <f>"LOOK TENDENCIAS NARANJA 1L - EMAPI"</f>
        <v>LOOK TENDENCIAS NARANJA 1L - EMAPI</v>
      </c>
      <c r="C1202">
        <v>10112.280000000001</v>
      </c>
      <c r="D1202">
        <v>12235.8588</v>
      </c>
    </row>
    <row r="1203" spans="1:4" x14ac:dyDescent="0.25">
      <c r="A1203" t="str">
        <f>"01741"</f>
        <v>01741</v>
      </c>
      <c r="B1203" t="str">
        <f>"LOOK TENDENCIAS NARANJA 4 L - EMAPI"</f>
        <v>LOOK TENDENCIAS NARANJA 4 L - EMAPI</v>
      </c>
      <c r="C1203">
        <v>38247.33</v>
      </c>
      <c r="D1203">
        <v>46279.2693</v>
      </c>
    </row>
    <row r="1204" spans="1:4" x14ac:dyDescent="0.25">
      <c r="A1204" t="str">
        <f>"01743"</f>
        <v>01743</v>
      </c>
      <c r="B1204" t="str">
        <f>"LOOK TENDENCIAS ROJO CEIBO 1L - EMAPI"</f>
        <v>LOOK TENDENCIAS ROJO CEIBO 1L - EMAPI</v>
      </c>
      <c r="C1204">
        <v>10112.280000000001</v>
      </c>
      <c r="D1204">
        <v>12235.8588</v>
      </c>
    </row>
    <row r="1205" spans="1:4" x14ac:dyDescent="0.25">
      <c r="A1205" t="str">
        <f>"01744"</f>
        <v>01744</v>
      </c>
      <c r="B1205" t="str">
        <f>"LOOK TENDENCIAS ROJO CEIBO 4 L - EMAPI"</f>
        <v>LOOK TENDENCIAS ROJO CEIBO 4 L - EMAPI</v>
      </c>
      <c r="C1205">
        <v>38247.33</v>
      </c>
      <c r="D1205">
        <v>46279.2693</v>
      </c>
    </row>
    <row r="1206" spans="1:4" x14ac:dyDescent="0.25">
      <c r="A1206" t="str">
        <f>"01746"</f>
        <v>01746</v>
      </c>
      <c r="B1206" t="str">
        <f>"LOOK TENDENCIAS ROSA ILUSION 1L - EMAPI"</f>
        <v>LOOK TENDENCIAS ROSA ILUSION 1L - EMAPI</v>
      </c>
      <c r="C1206">
        <v>10112.280000000001</v>
      </c>
      <c r="D1206">
        <v>12235.8588</v>
      </c>
    </row>
    <row r="1207" spans="1:4" x14ac:dyDescent="0.25">
      <c r="A1207" t="str">
        <f>"01747"</f>
        <v>01747</v>
      </c>
      <c r="B1207" t="str">
        <f>"LOOK TENDENCIAS ROSA ILUSION 4 L - EMAPI"</f>
        <v>LOOK TENDENCIAS ROSA ILUSION 4 L - EMAPI</v>
      </c>
      <c r="C1207">
        <v>38247.33</v>
      </c>
      <c r="D1207">
        <v>46279.2693</v>
      </c>
    </row>
    <row r="1208" spans="1:4" x14ac:dyDescent="0.25">
      <c r="A1208" t="str">
        <f>"01749"</f>
        <v>01749</v>
      </c>
      <c r="B1208" t="str">
        <f>"LOOK TENDENCIAS VERDE MANZANA 1L - EMAPI"</f>
        <v>LOOK TENDENCIAS VERDE MANZANA 1L - EMAPI</v>
      </c>
      <c r="C1208">
        <v>10112.280000000001</v>
      </c>
      <c r="D1208">
        <v>12235.8588</v>
      </c>
    </row>
    <row r="1209" spans="1:4" x14ac:dyDescent="0.25">
      <c r="A1209" t="str">
        <f>"01750"</f>
        <v>01750</v>
      </c>
      <c r="B1209" t="str">
        <f>"LOOK TENDENCIAS VERDE MANZANA 4 L - EMAPI"</f>
        <v>LOOK TENDENCIAS VERDE MANZANA 4 L - EMAPI</v>
      </c>
      <c r="C1209">
        <v>38247.33</v>
      </c>
      <c r="D1209">
        <v>46279.2693</v>
      </c>
    </row>
    <row r="1210" spans="1:4" x14ac:dyDescent="0.25">
      <c r="A1210" t="str">
        <f>"01751"</f>
        <v>01751</v>
      </c>
      <c r="B1210" t="str">
        <f>"LOOK TENDENCIAS VERDE SALVIA 1 L - EMAPI"</f>
        <v>LOOK TENDENCIAS VERDE SALVIA 1 L - EMAPI</v>
      </c>
      <c r="C1210">
        <v>10112.280000000001</v>
      </c>
      <c r="D1210">
        <v>12235.8588</v>
      </c>
    </row>
    <row r="1211" spans="1:4" x14ac:dyDescent="0.25">
      <c r="A1211" t="str">
        <f>"01753"</f>
        <v>01753</v>
      </c>
      <c r="B1211" t="str">
        <f>"LOOK TENDENCIAS VERDE SALVIA 4 L - EMAPI"</f>
        <v>LOOK TENDENCIAS VERDE SALVIA 4 L - EMAPI</v>
      </c>
      <c r="C1211">
        <v>38247.33</v>
      </c>
      <c r="D1211">
        <v>46279.2693</v>
      </c>
    </row>
    <row r="1212" spans="1:4" x14ac:dyDescent="0.25">
      <c r="A1212" t="str">
        <f>"01754"</f>
        <v>01754</v>
      </c>
      <c r="B1212" t="str">
        <f>"MEMBRANA W450 AL MAX FLEXIBLE ALUMINIO X 40 KG - EMAPI"</f>
        <v>MEMBRANA W450 AL MAX FLEXIBLE ALUMINIO X 40 KG - EMAPI</v>
      </c>
      <c r="C1212">
        <v>70236.69</v>
      </c>
      <c r="D1212">
        <v>84986.394899999999</v>
      </c>
    </row>
    <row r="1213" spans="1:4" x14ac:dyDescent="0.25">
      <c r="A1213" t="str">
        <f>"01755"</f>
        <v>01755</v>
      </c>
      <c r="B1213" t="str">
        <f>"MEMBRANAW450 AL MAX FLEXIBLE BILAMINADA X 40 KG - EMAPI"</f>
        <v>MEMBRANAW450 AL MAX FLEXIBLE BILAMINADA X 40 KG - EMAPI</v>
      </c>
      <c r="C1213">
        <v>79294.23</v>
      </c>
      <c r="D1213">
        <v>95946.018299999996</v>
      </c>
    </row>
    <row r="1214" spans="1:4" x14ac:dyDescent="0.25">
      <c r="A1214" t="str">
        <f>"01761"</f>
        <v>01761</v>
      </c>
      <c r="B1214" t="str">
        <f>"PRO LADRILLO TRAT PROT NATURAL 1 L - EMAPI"</f>
        <v>PRO LADRILLO TRAT PROT NATURAL 1 L - EMAPI</v>
      </c>
      <c r="C1214">
        <v>10312.06</v>
      </c>
      <c r="D1214">
        <v>12477.592599999998</v>
      </c>
    </row>
    <row r="1215" spans="1:4" x14ac:dyDescent="0.25">
      <c r="A1215" t="str">
        <f>"01763"</f>
        <v>01763</v>
      </c>
      <c r="B1215" t="str">
        <f>"PRO LADRILLO TRAT PROT NATURAL 4 L - EMAPI"</f>
        <v>PRO LADRILLO TRAT PROT NATURAL 4 L - EMAPI</v>
      </c>
      <c r="C1215">
        <v>38062.83</v>
      </c>
      <c r="D1215">
        <v>46056.024299999997</v>
      </c>
    </row>
    <row r="1216" spans="1:4" x14ac:dyDescent="0.25">
      <c r="A1216" t="str">
        <f>"01764"</f>
        <v>01764</v>
      </c>
      <c r="B1216" t="str">
        <f>"PRO MADERA BARNIZ BRILL 1 L - EMAPI"</f>
        <v>PRO MADERA BARNIZ BRILL 1 L - EMAPI</v>
      </c>
      <c r="C1216">
        <v>8661.49</v>
      </c>
      <c r="D1216">
        <v>10480.402899999999</v>
      </c>
    </row>
    <row r="1217" spans="1:4" x14ac:dyDescent="0.25">
      <c r="A1217" t="str">
        <f>"01765"</f>
        <v>01765</v>
      </c>
      <c r="B1217" t="str">
        <f>"PRO MADERA BARNIZ BRILL 1/2 L - EMAPI"</f>
        <v>PRO MADERA BARNIZ BRILL 1/2 L - EMAPI</v>
      </c>
      <c r="C1217">
        <v>5361.14</v>
      </c>
      <c r="D1217">
        <v>6486.9794000000002</v>
      </c>
    </row>
    <row r="1218" spans="1:4" x14ac:dyDescent="0.25">
      <c r="A1218" t="str">
        <f>"01766"</f>
        <v>01766</v>
      </c>
      <c r="B1218" t="str">
        <f>"PRO MADERA BARNIZ BRILL 20 L - EMAPI"</f>
        <v>PRO MADERA BARNIZ BRILL 20 L - EMAPI</v>
      </c>
      <c r="C1218">
        <v>140393.96</v>
      </c>
      <c r="D1218">
        <v>169876.69159999999</v>
      </c>
    </row>
    <row r="1219" spans="1:4" x14ac:dyDescent="0.25">
      <c r="A1219" t="str">
        <f>"01767"</f>
        <v>01767</v>
      </c>
      <c r="B1219" t="str">
        <f>"PRO MADERA BARNIZ BRILL 4 L - EMAPI"</f>
        <v>PRO MADERA BARNIZ BRILL 4 L - EMAPI</v>
      </c>
      <c r="C1219">
        <v>31508.09</v>
      </c>
      <c r="D1219">
        <v>38124.7889</v>
      </c>
    </row>
    <row r="1220" spans="1:4" x14ac:dyDescent="0.25">
      <c r="A1220" t="str">
        <f>"01768"</f>
        <v>01768</v>
      </c>
      <c r="B1220" t="str">
        <f>"PRO MADERA BARNIZ MATE 1 L - EMAPI"</f>
        <v>PRO MADERA BARNIZ MATE 1 L - EMAPI</v>
      </c>
      <c r="C1220">
        <v>13499.74</v>
      </c>
      <c r="D1220">
        <v>16334.685399999998</v>
      </c>
    </row>
    <row r="1221" spans="1:4" x14ac:dyDescent="0.25">
      <c r="A1221" t="str">
        <f>"01769"</f>
        <v>01769</v>
      </c>
      <c r="B1221" t="str">
        <f>"PRO MADERA BARNIZ MATE 1/2 L - EMAPI"</f>
        <v>PRO MADERA BARNIZ MATE 1/2 L - EMAPI</v>
      </c>
      <c r="C1221">
        <v>7818.55</v>
      </c>
      <c r="D1221">
        <v>9460.4454999999998</v>
      </c>
    </row>
    <row r="1222" spans="1:4" x14ac:dyDescent="0.25">
      <c r="A1222" t="str">
        <f>"01770"</f>
        <v>01770</v>
      </c>
      <c r="B1222" t="str">
        <f>"PRO MADERA BARNIZ MATE 20 L - EMAPI"</f>
        <v>PRO MADERA BARNIZ MATE 20 L - EMAPI</v>
      </c>
      <c r="C1222">
        <v>233102.98</v>
      </c>
      <c r="D1222">
        <v>282054.60580000002</v>
      </c>
    </row>
    <row r="1223" spans="1:4" x14ac:dyDescent="0.25">
      <c r="A1223" t="str">
        <f>"01771"</f>
        <v>01771</v>
      </c>
      <c r="B1223" t="str">
        <f>"PRO MADERA BARNIZ MATE 4 L - EMAPI"</f>
        <v>PRO MADERA BARNIZ MATE 4 L - EMAPI</v>
      </c>
      <c r="C1223">
        <v>50628.07</v>
      </c>
      <c r="D1223">
        <v>61259.964699999997</v>
      </c>
    </row>
    <row r="1224" spans="1:4" x14ac:dyDescent="0.25">
      <c r="A1224" t="str">
        <f>"01772"</f>
        <v>01772</v>
      </c>
      <c r="B1224" t="str">
        <f>"PRO MADERA BARNIZ SAT 1 L - EMAPI"</f>
        <v>PRO MADERA BARNIZ SAT 1 L - EMAPI</v>
      </c>
      <c r="C1224">
        <v>13499.74</v>
      </c>
      <c r="D1224">
        <v>16334.685399999998</v>
      </c>
    </row>
    <row r="1225" spans="1:4" x14ac:dyDescent="0.25">
      <c r="A1225" t="str">
        <f>"01773"</f>
        <v>01773</v>
      </c>
      <c r="B1225" t="str">
        <f>"PRO MADERA BARNIZ SAT 1/2 L - EMAPI"</f>
        <v>PRO MADERA BARNIZ SAT 1/2 L - EMAPI</v>
      </c>
      <c r="C1225">
        <v>7818.55</v>
      </c>
      <c r="D1225">
        <v>9460.4454999999998</v>
      </c>
    </row>
    <row r="1226" spans="1:4" x14ac:dyDescent="0.25">
      <c r="A1226" t="str">
        <f>"01774"</f>
        <v>01774</v>
      </c>
      <c r="B1226" t="str">
        <f>"PRO MADERA BARNIZ SAT 20 L - EMAPI"</f>
        <v>PRO MADERA BARNIZ SAT 20 L - EMAPI</v>
      </c>
      <c r="C1226">
        <v>233102.98</v>
      </c>
      <c r="D1226">
        <v>282054.60580000002</v>
      </c>
    </row>
    <row r="1227" spans="1:4" x14ac:dyDescent="0.25">
      <c r="A1227" t="str">
        <f>"01775"</f>
        <v>01775</v>
      </c>
      <c r="B1227" t="str">
        <f>"PRO MADERA BARNIZ SAT 4 L - EMAPI"</f>
        <v>PRO MADERA BARNIZ SAT 4 L - EMAPI</v>
      </c>
      <c r="C1227">
        <v>50628.07</v>
      </c>
      <c r="D1227">
        <v>61259.964699999997</v>
      </c>
    </row>
    <row r="1228" spans="1:4" x14ac:dyDescent="0.25">
      <c r="A1228" t="str">
        <f>"01776"</f>
        <v>01776</v>
      </c>
      <c r="B1228" t="str">
        <f>"PRO MADERA FONDO BLANCO 1 L - EMAPI"</f>
        <v>PRO MADERA FONDO BLANCO 1 L - EMAPI</v>
      </c>
      <c r="C1228">
        <v>8657.52</v>
      </c>
      <c r="D1228">
        <v>10475.599200000001</v>
      </c>
    </row>
    <row r="1229" spans="1:4" x14ac:dyDescent="0.25">
      <c r="A1229" t="str">
        <f>"01777"</f>
        <v>01777</v>
      </c>
      <c r="B1229" t="str">
        <f>"PRO MADERA FONDO BLANCO 20 L - EMAPI"</f>
        <v>PRO MADERA FONDO BLANCO 20 L - EMAPI</v>
      </c>
      <c r="C1229">
        <v>138525.39000000001</v>
      </c>
      <c r="D1229">
        <v>167615.7219</v>
      </c>
    </row>
    <row r="1230" spans="1:4" x14ac:dyDescent="0.25">
      <c r="A1230" t="str">
        <f>"01778"</f>
        <v>01778</v>
      </c>
      <c r="B1230" t="str">
        <f>"PRO MADERA FONDO BLANCO 4 L - EMAPI"</f>
        <v>PRO MADERA FONDO BLANCO 4 L - EMAPI</v>
      </c>
      <c r="C1230">
        <v>29687.69</v>
      </c>
      <c r="D1230">
        <v>35922.104899999998</v>
      </c>
    </row>
    <row r="1231" spans="1:4" x14ac:dyDescent="0.25">
      <c r="A1231" t="str">
        <f>"01779"</f>
        <v>01779</v>
      </c>
      <c r="B1231" t="str">
        <f>"PRO MADERA TRAT PROT CAOBA SAT 1 L - EMAPI"</f>
        <v>PRO MADERA TRAT PROT CAOBA SAT 1 L - EMAPI</v>
      </c>
      <c r="C1231">
        <v>14171.53</v>
      </c>
      <c r="D1231">
        <v>17147.551299999999</v>
      </c>
    </row>
    <row r="1232" spans="1:4" x14ac:dyDescent="0.25">
      <c r="A1232" t="str">
        <f>"01780"</f>
        <v>01780</v>
      </c>
      <c r="B1232" t="str">
        <f>"PRO MADERA TRAT PROT CAOBA SAT 20 L - EMAPI"</f>
        <v>PRO MADERA TRAT PROT CAOBA SAT 20 L - EMAPI</v>
      </c>
      <c r="C1232">
        <v>246293.27</v>
      </c>
      <c r="D1232">
        <v>298014.8567</v>
      </c>
    </row>
    <row r="1233" spans="1:4" x14ac:dyDescent="0.25">
      <c r="A1233" t="str">
        <f>"01781"</f>
        <v>01781</v>
      </c>
      <c r="B1233" t="str">
        <f>"PRO MADERA TRAT PROT CAOBA SAT 4 L - EMAPI"</f>
        <v>PRO MADERA TRAT PROT CAOBA SAT 4 L - EMAPI</v>
      </c>
      <c r="C1233">
        <v>53382.43</v>
      </c>
      <c r="D1233">
        <v>64592.740299999998</v>
      </c>
    </row>
    <row r="1234" spans="1:4" x14ac:dyDescent="0.25">
      <c r="A1234" t="str">
        <f>"01782"</f>
        <v>01782</v>
      </c>
      <c r="B1234" t="str">
        <f>"PRO MADERA TRAT PROT CAOBA TRAD 1 L - EMAPI"</f>
        <v>PRO MADERA TRAT PROT CAOBA TRAD 1 L - EMAPI</v>
      </c>
      <c r="C1234">
        <v>12198.7</v>
      </c>
      <c r="D1234">
        <v>14760.427</v>
      </c>
    </row>
    <row r="1235" spans="1:4" x14ac:dyDescent="0.25">
      <c r="A1235" t="str">
        <f>"01783"</f>
        <v>01783</v>
      </c>
      <c r="B1235" t="str">
        <f>"PRO MADERA TRAT PROT CAOBA TRAD 20 L - EMAPI"</f>
        <v>PRO MADERA TRAT PROT CAOBA TRAD 20 L - EMAPI</v>
      </c>
      <c r="C1235">
        <v>205226.14</v>
      </c>
      <c r="D1235">
        <v>248323.62940000001</v>
      </c>
    </row>
    <row r="1236" spans="1:4" x14ac:dyDescent="0.25">
      <c r="A1236" t="str">
        <f>"01784"</f>
        <v>01784</v>
      </c>
      <c r="B1236" t="str">
        <f>"PRO MADERA TRAT PROT CAOBA TRAD 4 L - EMAPI"</f>
        <v>PRO MADERA TRAT PROT CAOBA TRAD 4 L - EMAPI</v>
      </c>
      <c r="C1236">
        <v>44872.52</v>
      </c>
      <c r="D1236">
        <v>54295.749199999991</v>
      </c>
    </row>
    <row r="1237" spans="1:4" x14ac:dyDescent="0.25">
      <c r="A1237" t="str">
        <f>"01785"</f>
        <v>01785</v>
      </c>
      <c r="B1237" t="str">
        <f>"PRO MADERA TRAT PROT CEDRO SAT 1 L - EMAPI"</f>
        <v>PRO MADERA TRAT PROT CEDRO SAT 1 L - EMAPI</v>
      </c>
      <c r="C1237">
        <v>14171.53</v>
      </c>
      <c r="D1237">
        <v>17147.551299999999</v>
      </c>
    </row>
    <row r="1238" spans="1:4" x14ac:dyDescent="0.25">
      <c r="A1238" t="str">
        <f>"01786"</f>
        <v>01786</v>
      </c>
      <c r="B1238" t="str">
        <f>"PRO MADERA TRAT PROT CEDRO SAT 20 L - EMAPI"</f>
        <v>PRO MADERA TRAT PROT CEDRO SAT 20 L - EMAPI</v>
      </c>
      <c r="C1238">
        <v>246293.27</v>
      </c>
      <c r="D1238">
        <v>298014.8567</v>
      </c>
    </row>
    <row r="1239" spans="1:4" x14ac:dyDescent="0.25">
      <c r="A1239" t="str">
        <f>"01787"</f>
        <v>01787</v>
      </c>
      <c r="B1239" t="str">
        <f>"PRO MADERA TRAT PROT CEDRO SAT 4 L - EMAPI"</f>
        <v>PRO MADERA TRAT PROT CEDRO SAT 4 L - EMAPI</v>
      </c>
      <c r="C1239">
        <v>53382.43</v>
      </c>
      <c r="D1239">
        <v>64592.740299999998</v>
      </c>
    </row>
    <row r="1240" spans="1:4" x14ac:dyDescent="0.25">
      <c r="A1240" t="str">
        <f>"01788"</f>
        <v>01788</v>
      </c>
      <c r="B1240" t="str">
        <f>"PRO MADERA TRAT PROT CEDRO TRAD 1 L - EMAPI"</f>
        <v>PRO MADERA TRAT PROT CEDRO TRAD 1 L - EMAPI</v>
      </c>
      <c r="C1240">
        <v>12198.7</v>
      </c>
      <c r="D1240">
        <v>14760.427</v>
      </c>
    </row>
    <row r="1241" spans="1:4" x14ac:dyDescent="0.25">
      <c r="A1241" t="str">
        <f>"01789"</f>
        <v>01789</v>
      </c>
      <c r="B1241" t="str">
        <f>"PRO MADERA TRAT PROT CEDRO TRAD 20 L - EMAPI"</f>
        <v>PRO MADERA TRAT PROT CEDRO TRAD 20 L - EMAPI</v>
      </c>
      <c r="C1241">
        <v>205226.14</v>
      </c>
      <c r="D1241">
        <v>248323.62940000001</v>
      </c>
    </row>
    <row r="1242" spans="1:4" x14ac:dyDescent="0.25">
      <c r="A1242" t="str">
        <f>"01790"</f>
        <v>01790</v>
      </c>
      <c r="B1242" t="str">
        <f>"PRO MADERA TRAT PROT CEDRO TRAD 4 L - EMAPI"</f>
        <v>PRO MADERA TRAT PROT CEDRO TRAD 4 L - EMAPI</v>
      </c>
      <c r="C1242">
        <v>44872.52</v>
      </c>
      <c r="D1242">
        <v>54295.749199999991</v>
      </c>
    </row>
    <row r="1243" spans="1:4" x14ac:dyDescent="0.25">
      <c r="A1243" t="str">
        <f>"01791"</f>
        <v>01791</v>
      </c>
      <c r="B1243" t="str">
        <f>"PRO MADERA TRAT PROT NATURAL SAT 1 L - EMAPI"</f>
        <v>PRO MADERA TRAT PROT NATURAL SAT 1 L - EMAPI</v>
      </c>
      <c r="C1243">
        <v>14171.53</v>
      </c>
      <c r="D1243">
        <v>17147.551299999999</v>
      </c>
    </row>
    <row r="1244" spans="1:4" x14ac:dyDescent="0.25">
      <c r="A1244" t="str">
        <f>"01792"</f>
        <v>01792</v>
      </c>
      <c r="B1244" t="str">
        <f>"PRO MADERA TRAT PROT NATURAL SAT 20 L - EMAPI"</f>
        <v>PRO MADERA TRAT PROT NATURAL SAT 20 L - EMAPI</v>
      </c>
      <c r="C1244">
        <v>246293.27</v>
      </c>
      <c r="D1244">
        <v>298014.8567</v>
      </c>
    </row>
    <row r="1245" spans="1:4" x14ac:dyDescent="0.25">
      <c r="A1245" t="str">
        <f>"01793"</f>
        <v>01793</v>
      </c>
      <c r="B1245" t="str">
        <f>"PRO MADERA TRAT PROT NATURAL SAT 4 L - EMAPI"</f>
        <v>PRO MADERA TRAT PROT NATURAL SAT 4 L - EMAPI</v>
      </c>
      <c r="C1245">
        <v>53382.43</v>
      </c>
      <c r="D1245">
        <v>64592.740299999998</v>
      </c>
    </row>
    <row r="1246" spans="1:4" x14ac:dyDescent="0.25">
      <c r="A1246" t="str">
        <f>"01794"</f>
        <v>01794</v>
      </c>
      <c r="B1246" t="str">
        <f>"PRO MADERA TRAT PROT NATURAL TRAD 1 L - EMAPI"</f>
        <v>PRO MADERA TRAT PROT NATURAL TRAD 1 L - EMAPI</v>
      </c>
      <c r="C1246">
        <v>12198.7</v>
      </c>
      <c r="D1246">
        <v>14760.427</v>
      </c>
    </row>
    <row r="1247" spans="1:4" x14ac:dyDescent="0.25">
      <c r="A1247" t="str">
        <f>"01795"</f>
        <v>01795</v>
      </c>
      <c r="B1247" t="str">
        <f>"PRO MADERA TRAT PROT NATURAL TRAD 20 L - EMAPI"</f>
        <v>PRO MADERA TRAT PROT NATURAL TRAD 20 L - EMAPI</v>
      </c>
      <c r="C1247">
        <v>205226.14</v>
      </c>
      <c r="D1247">
        <v>248323.62940000001</v>
      </c>
    </row>
    <row r="1248" spans="1:4" x14ac:dyDescent="0.25">
      <c r="A1248" t="str">
        <f>"01796"</f>
        <v>01796</v>
      </c>
      <c r="B1248" t="str">
        <f>"PRO MADERA TRAT PROT NATURAL TRAD 4 L - EMAPI"</f>
        <v>PRO MADERA TRAT PROT NATURAL TRAD 4 L - EMAPI</v>
      </c>
      <c r="C1248">
        <v>44872.52</v>
      </c>
      <c r="D1248">
        <v>54295.749199999991</v>
      </c>
    </row>
    <row r="1249" spans="1:4" x14ac:dyDescent="0.25">
      <c r="A1249" t="str">
        <f>"01797"</f>
        <v>01797</v>
      </c>
      <c r="B1249" t="str">
        <f>"PRO MADERA TRAT PROT NOGAL SAT 1 L - EMAPI"</f>
        <v>PRO MADERA TRAT PROT NOGAL SAT 1 L - EMAPI</v>
      </c>
      <c r="C1249">
        <v>14171.53</v>
      </c>
      <c r="D1249">
        <v>17147.551299999999</v>
      </c>
    </row>
    <row r="1250" spans="1:4" x14ac:dyDescent="0.25">
      <c r="A1250" t="str">
        <f>"01798"</f>
        <v>01798</v>
      </c>
      <c r="B1250" t="str">
        <f>"PRO MADERA TRAT PROT NOGAL SAT 20 L - EMAPI"</f>
        <v>PRO MADERA TRAT PROT NOGAL SAT 20 L - EMAPI</v>
      </c>
      <c r="C1250">
        <v>246293.27</v>
      </c>
      <c r="D1250">
        <v>298014.8567</v>
      </c>
    </row>
    <row r="1251" spans="1:4" x14ac:dyDescent="0.25">
      <c r="A1251" t="str">
        <f>"01799"</f>
        <v>01799</v>
      </c>
      <c r="B1251" t="str">
        <f>"PRO MADERA TRAT PROT NOGAL SAT 4 L - EMAPI"</f>
        <v>PRO MADERA TRAT PROT NOGAL SAT 4 L - EMAPI</v>
      </c>
      <c r="C1251">
        <v>53382.43</v>
      </c>
      <c r="D1251">
        <v>64592.740299999998</v>
      </c>
    </row>
    <row r="1252" spans="1:4" x14ac:dyDescent="0.25">
      <c r="A1252" t="str">
        <f>"01800"</f>
        <v>01800</v>
      </c>
      <c r="B1252" t="str">
        <f>"PRO MADERA TRAT PROT NOGAL TRAD 1 L - EMAPI"</f>
        <v>PRO MADERA TRAT PROT NOGAL TRAD 1 L - EMAPI</v>
      </c>
      <c r="C1252">
        <v>12198.7</v>
      </c>
      <c r="D1252">
        <v>14760.427</v>
      </c>
    </row>
    <row r="1253" spans="1:4" x14ac:dyDescent="0.25">
      <c r="A1253" t="str">
        <f>"01801"</f>
        <v>01801</v>
      </c>
      <c r="B1253" t="str">
        <f>"PRO MADERA TRAT PROT NOGAL TRAD 20 L - EMAPI"</f>
        <v>PRO MADERA TRAT PROT NOGAL TRAD 20 L - EMAPI</v>
      </c>
      <c r="C1253">
        <v>205226.14</v>
      </c>
      <c r="D1253">
        <v>248323.62940000001</v>
      </c>
    </row>
    <row r="1254" spans="1:4" x14ac:dyDescent="0.25">
      <c r="A1254" t="str">
        <f>"01802"</f>
        <v>01802</v>
      </c>
      <c r="B1254" t="str">
        <f>"PRO MADERA TRAT PROT NOGAL TRAD 4 L - EMAPI"</f>
        <v>PRO MADERA TRAT PROT NOGAL TRAD 4 L - EMAPI</v>
      </c>
      <c r="C1254">
        <v>44872.52</v>
      </c>
      <c r="D1254">
        <v>54295.749199999991</v>
      </c>
    </row>
    <row r="1255" spans="1:4" x14ac:dyDescent="0.25">
      <c r="A1255" t="str">
        <f>"01803"</f>
        <v>01803</v>
      </c>
      <c r="B1255" t="str">
        <f>"SELLADOR FIJADOR 1 L - EMAPI"</f>
        <v>SELLADOR FIJADOR 1 L - EMAPI</v>
      </c>
      <c r="C1255">
        <v>4482.12</v>
      </c>
      <c r="D1255">
        <v>5423.3651999999993</v>
      </c>
    </row>
    <row r="1256" spans="1:4" x14ac:dyDescent="0.25">
      <c r="A1256" t="str">
        <f>"01804"</f>
        <v>01804</v>
      </c>
      <c r="B1256" t="str">
        <f>"SELLADOR FIJADOR 10 L - EMAPI"</f>
        <v>SELLADOR FIJADOR 10 L - EMAPI</v>
      </c>
      <c r="C1256">
        <v>26949.74</v>
      </c>
      <c r="D1256">
        <v>32609.185400000002</v>
      </c>
    </row>
    <row r="1257" spans="1:4" x14ac:dyDescent="0.25">
      <c r="A1257" t="str">
        <f>"01805"</f>
        <v>01805</v>
      </c>
      <c r="B1257" t="str">
        <f>"SELLADOR FIJADOR 20 L - EMAPI"</f>
        <v>SELLADOR FIJADOR 20 L - EMAPI</v>
      </c>
      <c r="C1257">
        <v>50349.25</v>
      </c>
      <c r="D1257">
        <v>60922.592499999999</v>
      </c>
    </row>
    <row r="1258" spans="1:4" x14ac:dyDescent="0.25">
      <c r="A1258" t="str">
        <f>"01806"</f>
        <v>01806</v>
      </c>
      <c r="B1258" t="str">
        <f>"SELLADOR FIJADOR 4 L - EMAPI"</f>
        <v>SELLADOR FIJADOR 4 L - EMAPI</v>
      </c>
      <c r="C1258">
        <v>10800.04</v>
      </c>
      <c r="D1258">
        <v>13068.048400000001</v>
      </c>
    </row>
    <row r="1259" spans="1:4" x14ac:dyDescent="0.25">
      <c r="A1259" t="str">
        <f>"01826"</f>
        <v>01826</v>
      </c>
      <c r="B1259" t="str">
        <f>"AEROSOL TOKE ALTA TEMPERATURA NEGRO X 283G - TOKE"</f>
        <v>AEROSOL TOKE ALTA TEMPERATURA NEGRO X 283G - TOKE</v>
      </c>
      <c r="C1259">
        <v>17047.66</v>
      </c>
      <c r="D1259">
        <v>20627.668600000001</v>
      </c>
    </row>
    <row r="1260" spans="1:4" x14ac:dyDescent="0.25">
      <c r="A1260" t="str">
        <f>"01827"</f>
        <v>01827</v>
      </c>
      <c r="B1260" t="str">
        <f>"AEROSOL TOKE ALTA TEMPERATURA PLATA X 283G - TOKE"</f>
        <v>AEROSOL TOKE ALTA TEMPERATURA PLATA X 283G - TOKE</v>
      </c>
      <c r="C1260">
        <v>17047.66</v>
      </c>
      <c r="D1260">
        <v>20627.668600000001</v>
      </c>
    </row>
    <row r="1261" spans="1:4" x14ac:dyDescent="0.25">
      <c r="A1261" t="str">
        <f>"01828"</f>
        <v>01828</v>
      </c>
      <c r="B1261" t="str">
        <f>"AEROSOL TOKE ALUMINIO X 283G - TOKE"</f>
        <v>AEROSOL TOKE ALUMINIO X 283G - TOKE</v>
      </c>
      <c r="C1261">
        <v>12182.28</v>
      </c>
      <c r="D1261">
        <v>14740.558800000001</v>
      </c>
    </row>
    <row r="1262" spans="1:4" x14ac:dyDescent="0.25">
      <c r="A1262" t="str">
        <f>"01829"</f>
        <v>01829</v>
      </c>
      <c r="B1262" t="str">
        <f>"AEROSOL TOKE AMARILLO X 283G - TOKE"</f>
        <v>AEROSOL TOKE AMARILLO X 283G - TOKE</v>
      </c>
      <c r="C1262">
        <v>10926.16</v>
      </c>
      <c r="D1262">
        <v>13220.6536</v>
      </c>
    </row>
    <row r="1263" spans="1:4" x14ac:dyDescent="0.25">
      <c r="A1263" t="str">
        <f>"01830"</f>
        <v>01830</v>
      </c>
      <c r="B1263" t="str">
        <f>"AEROSOL TOKE AZUL BRILLANTE X 283G - TOKE"</f>
        <v>AEROSOL TOKE AZUL BRILLANTE X 283G - TOKE</v>
      </c>
      <c r="C1263">
        <v>10926.16</v>
      </c>
      <c r="D1263">
        <v>13220.6536</v>
      </c>
    </row>
    <row r="1264" spans="1:4" x14ac:dyDescent="0.25">
      <c r="A1264" t="str">
        <f>"01831"</f>
        <v>01831</v>
      </c>
      <c r="B1264" t="str">
        <f>"AEROSOL TOKE AZUL MARINO X 283G - TOKE"</f>
        <v>AEROSOL TOKE AZUL MARINO X 283G - TOKE</v>
      </c>
      <c r="C1264">
        <v>10926.16</v>
      </c>
      <c r="D1264">
        <v>13220.6536</v>
      </c>
    </row>
    <row r="1265" spans="1:4" x14ac:dyDescent="0.25">
      <c r="A1265" t="str">
        <f>"01832"</f>
        <v>01832</v>
      </c>
      <c r="B1265" t="str">
        <f>"AEROSOL TOKE BLANCO BRILLANTE X 283G - TOKE"</f>
        <v>AEROSOL TOKE BLANCO BRILLANTE X 283G - TOKE</v>
      </c>
      <c r="C1265">
        <v>10926.16</v>
      </c>
      <c r="D1265">
        <v>13220.6536</v>
      </c>
    </row>
    <row r="1266" spans="1:4" x14ac:dyDescent="0.25">
      <c r="A1266" t="str">
        <f>"01833"</f>
        <v>01833</v>
      </c>
      <c r="B1266" t="str">
        <f>"AEROSOL TOKE BLANCO MATE X 283G - TOKE"</f>
        <v>AEROSOL TOKE BLANCO MATE X 283G - TOKE</v>
      </c>
      <c r="C1266">
        <v>10926.16</v>
      </c>
      <c r="D1266">
        <v>13220.6536</v>
      </c>
    </row>
    <row r="1267" spans="1:4" x14ac:dyDescent="0.25">
      <c r="A1267" t="str">
        <f>"01834"</f>
        <v>01834</v>
      </c>
      <c r="B1267" t="str">
        <f>"AEROSOL TOKE BLANCO SATINADO X 283G - TOKE"</f>
        <v>AEROSOL TOKE BLANCO SATINADO X 283G - TOKE</v>
      </c>
      <c r="C1267">
        <v>10926.16</v>
      </c>
      <c r="D1267">
        <v>13220.6536</v>
      </c>
    </row>
    <row r="1268" spans="1:4" x14ac:dyDescent="0.25">
      <c r="A1268" t="str">
        <f>"01835"</f>
        <v>01835</v>
      </c>
      <c r="B1268" t="str">
        <f>"AEROSOL TOKE EPOXI ALUMINIO 283G - TOKE"</f>
        <v>AEROSOL TOKE EPOXI ALUMINIO 283G - TOKE</v>
      </c>
      <c r="C1268">
        <v>16583.490000000002</v>
      </c>
      <c r="D1268">
        <v>20066.0229</v>
      </c>
    </row>
    <row r="1269" spans="1:4" x14ac:dyDescent="0.25">
      <c r="A1269" t="str">
        <f>"01836"</f>
        <v>01836</v>
      </c>
      <c r="B1269" t="str">
        <f>"AEROSOL TOKE EPOXI BLANCO 283G - TOKE"</f>
        <v>AEROSOL TOKE EPOXI BLANCO 283G - TOKE</v>
      </c>
      <c r="C1269">
        <v>16583.490000000002</v>
      </c>
      <c r="D1269">
        <v>20066.0229</v>
      </c>
    </row>
    <row r="1270" spans="1:4" x14ac:dyDescent="0.25">
      <c r="A1270" t="str">
        <f>"01837"</f>
        <v>01837</v>
      </c>
      <c r="B1270" t="str">
        <f>"AEROSOL TOKE GRIS OSCURO X 283G - TOKE"</f>
        <v>AEROSOL TOKE GRIS OSCURO X 283G - TOKE</v>
      </c>
      <c r="C1270">
        <v>10926.16</v>
      </c>
      <c r="D1270">
        <v>13220.6536</v>
      </c>
    </row>
    <row r="1271" spans="1:4" x14ac:dyDescent="0.25">
      <c r="A1271" t="str">
        <f>"01838"</f>
        <v>01838</v>
      </c>
      <c r="B1271" t="str">
        <f>"AEROSOL TOKE GRIS PLATA X 283G - TOKE"</f>
        <v>AEROSOL TOKE GRIS PLATA X 283G - TOKE</v>
      </c>
      <c r="C1271">
        <v>10926.16</v>
      </c>
      <c r="D1271">
        <v>13220.6536</v>
      </c>
    </row>
    <row r="1272" spans="1:4" x14ac:dyDescent="0.25">
      <c r="A1272" t="str">
        <f>"01839"</f>
        <v>01839</v>
      </c>
      <c r="B1272" t="str">
        <f>"AEROSOL TOKE IMPRIMACION GRIS X 283G - TOKE"</f>
        <v>AEROSOL TOKE IMPRIMACION GRIS X 283G - TOKE</v>
      </c>
      <c r="C1272">
        <v>12182.28</v>
      </c>
      <c r="D1272">
        <v>14740.558800000001</v>
      </c>
    </row>
    <row r="1273" spans="1:4" x14ac:dyDescent="0.25">
      <c r="A1273" t="str">
        <f>"01840"</f>
        <v>01840</v>
      </c>
      <c r="B1273" t="str">
        <f>"AEROSOL TOKE LLANTA GRIS GRAFITO  X 283G - TOKE"</f>
        <v>AEROSOL TOKE LLANTA GRIS GRAFITO  X 283G - TOKE</v>
      </c>
      <c r="C1273">
        <v>16583.490000000002</v>
      </c>
      <c r="D1273">
        <v>20066.0229</v>
      </c>
    </row>
    <row r="1274" spans="1:4" x14ac:dyDescent="0.25">
      <c r="A1274" t="str">
        <f>"01841"</f>
        <v>01841</v>
      </c>
      <c r="B1274" t="str">
        <f>"AEROSOL TOKE MARRON X 283G - TOKE"</f>
        <v>AEROSOL TOKE MARRON X 283G - TOKE</v>
      </c>
      <c r="C1274">
        <v>10926.16</v>
      </c>
      <c r="D1274">
        <v>13220.6536</v>
      </c>
    </row>
    <row r="1275" spans="1:4" x14ac:dyDescent="0.25">
      <c r="A1275" t="str">
        <f>"01842"</f>
        <v>01842</v>
      </c>
      <c r="B1275" t="str">
        <f>"AEROSOL TOKE NARANJA X 283G - TOKE"</f>
        <v>AEROSOL TOKE NARANJA X 283G - TOKE</v>
      </c>
      <c r="C1275">
        <v>10926.16</v>
      </c>
      <c r="D1275">
        <v>13220.6536</v>
      </c>
    </row>
    <row r="1276" spans="1:4" x14ac:dyDescent="0.25">
      <c r="A1276" t="str">
        <f>"01843"</f>
        <v>01843</v>
      </c>
      <c r="B1276" t="str">
        <f>"AEROSOL TOKE NEGRO BRILLANTE X 283G - TOKE"</f>
        <v>AEROSOL TOKE NEGRO BRILLANTE X 283G - TOKE</v>
      </c>
      <c r="C1276">
        <v>10926.16</v>
      </c>
      <c r="D1276">
        <v>13220.6536</v>
      </c>
    </row>
    <row r="1277" spans="1:4" x14ac:dyDescent="0.25">
      <c r="A1277" t="str">
        <f>"01844"</f>
        <v>01844</v>
      </c>
      <c r="B1277" t="str">
        <f>"AEROSOL TOKE NEGRO MATE X 283G - TOKE"</f>
        <v>AEROSOL TOKE NEGRO MATE X 283G - TOKE</v>
      </c>
      <c r="C1277">
        <v>10926.16</v>
      </c>
      <c r="D1277">
        <v>13220.6536</v>
      </c>
    </row>
    <row r="1278" spans="1:4" x14ac:dyDescent="0.25">
      <c r="A1278" t="str">
        <f>"01845"</f>
        <v>01845</v>
      </c>
      <c r="B1278" t="str">
        <f>"AEROSOL TOKE NEGRO SATINADO X 283G - TOKE"</f>
        <v>AEROSOL TOKE NEGRO SATINADO X 283G - TOKE</v>
      </c>
      <c r="C1278">
        <v>10926.16</v>
      </c>
      <c r="D1278">
        <v>13220.6536</v>
      </c>
    </row>
    <row r="1279" spans="1:4" x14ac:dyDescent="0.25">
      <c r="A1279" t="str">
        <f>"01846"</f>
        <v>01846</v>
      </c>
      <c r="B1279" t="str">
        <f>"AEROSOL TOKE ORO REAL X 283G - TOKE"</f>
        <v>AEROSOL TOKE ORO REAL X 283G - TOKE</v>
      </c>
      <c r="C1279">
        <v>16583.490000000002</v>
      </c>
      <c r="D1279">
        <v>20066.0229</v>
      </c>
    </row>
    <row r="1280" spans="1:4" x14ac:dyDescent="0.25">
      <c r="A1280" t="str">
        <f>"01847"</f>
        <v>01847</v>
      </c>
      <c r="B1280" t="str">
        <f>"AEROSOL TOKE PLATA IMPERIAL X 283G - TOKE"</f>
        <v>AEROSOL TOKE PLATA IMPERIAL X 283G - TOKE</v>
      </c>
      <c r="C1280">
        <v>16583.490000000002</v>
      </c>
      <c r="D1280">
        <v>20066.0229</v>
      </c>
    </row>
    <row r="1281" spans="1:4" x14ac:dyDescent="0.25">
      <c r="A1281" t="str">
        <f>"01848"</f>
        <v>01848</v>
      </c>
      <c r="B1281" t="str">
        <f>"AEROSOL TOKE ROJO FURIA X 283G - TOKE"</f>
        <v>AEROSOL TOKE ROJO FURIA X 283G - TOKE</v>
      </c>
      <c r="C1281">
        <v>10926.16</v>
      </c>
      <c r="D1281">
        <v>13220.6536</v>
      </c>
    </row>
    <row r="1282" spans="1:4" x14ac:dyDescent="0.25">
      <c r="A1282" t="str">
        <f>"01849"</f>
        <v>01849</v>
      </c>
      <c r="B1282" t="str">
        <f>"AEROSOL TOKE ROSA INTENSO X 283G - TOKE"</f>
        <v>AEROSOL TOKE ROSA INTENSO X 283G - TOKE</v>
      </c>
      <c r="C1282">
        <v>10926.16</v>
      </c>
      <c r="D1282">
        <v>13220.6536</v>
      </c>
    </row>
    <row r="1283" spans="1:4" x14ac:dyDescent="0.25">
      <c r="A1283" t="str">
        <f>"01850"</f>
        <v>01850</v>
      </c>
      <c r="B1283" t="str">
        <f>"AEROSOL TOKE TRANSPARENTE BRILLANTE X 283G - TOKE"</f>
        <v>AEROSOL TOKE TRANSPARENTE BRILLANTE X 283G - TOKE</v>
      </c>
      <c r="C1283">
        <v>10926.16</v>
      </c>
      <c r="D1283">
        <v>13220.6536</v>
      </c>
    </row>
    <row r="1284" spans="1:4" x14ac:dyDescent="0.25">
      <c r="A1284" t="str">
        <f>"01851"</f>
        <v>01851</v>
      </c>
      <c r="B1284" t="str">
        <f>"AEROSOL TOKE VERDE CLARO X 283G - TOKE"</f>
        <v>AEROSOL TOKE VERDE CLARO X 283G - TOKE</v>
      </c>
      <c r="C1284">
        <v>10926.16</v>
      </c>
      <c r="D1284">
        <v>13220.6536</v>
      </c>
    </row>
    <row r="1285" spans="1:4" x14ac:dyDescent="0.25">
      <c r="A1285" t="str">
        <f>"01852"</f>
        <v>01852</v>
      </c>
      <c r="B1285" t="str">
        <f>"AEROSOL TOKE VIOLETA ROCK X 283G - TOKE"</f>
        <v>AEROSOL TOKE VIOLETA ROCK X 283G - TOKE</v>
      </c>
      <c r="C1285">
        <v>10926.16</v>
      </c>
      <c r="D1285">
        <v>13220.6536</v>
      </c>
    </row>
    <row r="1286" spans="1:4" x14ac:dyDescent="0.25">
      <c r="A1286" t="str">
        <f>"01853"</f>
        <v>01853</v>
      </c>
      <c r="B1286" t="str">
        <f>"AGUARRAS DIXILINA X 0.9L - DIXILINA"</f>
        <v>AGUARRAS DIXILINA X 0.9L - DIXILINA</v>
      </c>
      <c r="C1286">
        <v>4568.51</v>
      </c>
      <c r="D1286">
        <v>5527.8971000000001</v>
      </c>
    </row>
    <row r="1287" spans="1:4" x14ac:dyDescent="0.25">
      <c r="A1287" t="str">
        <f>"01854"</f>
        <v>01854</v>
      </c>
      <c r="B1287" t="str">
        <f>"AGUARRAS DIXILINA X 3.6L - DIXILINA"</f>
        <v>AGUARRAS DIXILINA X 3.6L - DIXILINA</v>
      </c>
      <c r="C1287">
        <v>17938.849999999999</v>
      </c>
      <c r="D1287">
        <v>21706.008499999996</v>
      </c>
    </row>
    <row r="1288" spans="1:4" x14ac:dyDescent="0.25">
      <c r="A1288" t="str">
        <f>"01855"</f>
        <v>01855</v>
      </c>
      <c r="B1288" t="str">
        <f>"DILUYENTE AUTOMOTOR NF 600 1L - DIXILINA"</f>
        <v>DILUYENTE AUTOMOTOR NF 600 1L - DIXILINA</v>
      </c>
      <c r="C1288">
        <v>8654.9500000000007</v>
      </c>
      <c r="D1288">
        <v>10472.4895</v>
      </c>
    </row>
    <row r="1289" spans="1:4" x14ac:dyDescent="0.25">
      <c r="A1289" t="str">
        <f>"01856"</f>
        <v>01856</v>
      </c>
      <c r="B1289" t="str">
        <f>"REMOVEDOR EN GEL NF 1KL - DIXILINA"</f>
        <v>REMOVEDOR EN GEL NF 1KL - DIXILINA</v>
      </c>
      <c r="C1289">
        <v>8680.8700000000008</v>
      </c>
      <c r="D1289">
        <v>10503.852700000001</v>
      </c>
    </row>
    <row r="1290" spans="1:4" x14ac:dyDescent="0.25">
      <c r="A1290" t="str">
        <f>"01857"</f>
        <v>01857</v>
      </c>
      <c r="B1290" t="str">
        <f>"REMOVEDOR EN GEL NF 4KL - DIXILINA"</f>
        <v>REMOVEDOR EN GEL NF 4KL - DIXILINA</v>
      </c>
      <c r="C1290">
        <v>32126.47</v>
      </c>
      <c r="D1290">
        <v>38873.028700000003</v>
      </c>
    </row>
    <row r="1291" spans="1:4" x14ac:dyDescent="0.25">
      <c r="A1291" t="str">
        <f>"01858"</f>
        <v>01858</v>
      </c>
      <c r="B1291" t="str">
        <f>"THINNER SELLO DE ORO DIXILINA X 200L - DIXILINA"</f>
        <v>THINNER SELLO DE ORO DIXILINA X 200L - DIXILINA</v>
      </c>
      <c r="C1291">
        <v>966997.67</v>
      </c>
      <c r="D1291">
        <v>1170067.1806999999</v>
      </c>
    </row>
    <row r="1292" spans="1:4" x14ac:dyDescent="0.25">
      <c r="A1292" t="str">
        <f>"01859"</f>
        <v>01859</v>
      </c>
      <c r="B1292" t="str">
        <f>"THINNER SELLO ORO - 0.9L - DIXILINA"</f>
        <v>THINNER SELLO ORO - 0.9L - DIXILINA</v>
      </c>
      <c r="C1292">
        <v>4929.21</v>
      </c>
      <c r="D1292">
        <v>5964.3441000000003</v>
      </c>
    </row>
    <row r="1293" spans="1:4" x14ac:dyDescent="0.25">
      <c r="A1293" t="str">
        <f>"01860"</f>
        <v>01860</v>
      </c>
      <c r="B1293" t="str">
        <f>"THINNER SELLO ORO - 3.6 L - DIXILINA"</f>
        <v>THINNER SELLO ORO - 3.6 L - DIXILINA</v>
      </c>
      <c r="C1293">
        <v>17792.45</v>
      </c>
      <c r="D1293">
        <v>21528.8645</v>
      </c>
    </row>
    <row r="1294" spans="1:4" x14ac:dyDescent="0.25">
      <c r="A1294" t="str">
        <f>"01861"</f>
        <v>01861</v>
      </c>
      <c r="B1294" t="str">
        <f>"CINTA AUTOMOTOR BLANCA N18 - SHERWIN WILLIAMS"</f>
        <v>CINTA AUTOMOTOR BLANCA N18 - SHERWIN WILLIAMS</v>
      </c>
      <c r="C1294">
        <v>2077.27</v>
      </c>
      <c r="D1294">
        <v>2513.4966999999997</v>
      </c>
    </row>
    <row r="1295" spans="1:4" x14ac:dyDescent="0.25">
      <c r="A1295" t="str">
        <f>"01862"</f>
        <v>01862</v>
      </c>
      <c r="B1295" t="str">
        <f>"CINTA AUTOMOTOR BLANCA N24 - SHERWIN WILLIAMS"</f>
        <v>CINTA AUTOMOTOR BLANCA N24 - SHERWIN WILLIAMS</v>
      </c>
      <c r="C1295">
        <v>2769.69</v>
      </c>
      <c r="D1295">
        <v>3351.3249000000001</v>
      </c>
    </row>
    <row r="1296" spans="1:4" x14ac:dyDescent="0.25">
      <c r="A1296" t="str">
        <f>"01863"</f>
        <v>01863</v>
      </c>
      <c r="B1296" t="str">
        <f>"CINTA AUTOMOTOR BLANCA N36 - SHERWIN WILLIAMS"</f>
        <v>CINTA AUTOMOTOR BLANCA N36 - SHERWIN WILLIAMS</v>
      </c>
      <c r="C1296">
        <v>4153.63</v>
      </c>
      <c r="D1296">
        <v>5025.8923000000004</v>
      </c>
    </row>
    <row r="1297" spans="1:4" x14ac:dyDescent="0.25">
      <c r="A1297" t="str">
        <f>"01864"</f>
        <v>01864</v>
      </c>
      <c r="B1297" t="str">
        <f>"CINTA AUTOMOTOR BLANCA N48 - SHERWIN WILLIAMS"</f>
        <v>CINTA AUTOMOTOR BLANCA N48 - SHERWIN WILLIAMS</v>
      </c>
      <c r="C1297">
        <v>5538.47</v>
      </c>
      <c r="D1297">
        <v>6701.5487000000003</v>
      </c>
    </row>
    <row r="1298" spans="1:4" x14ac:dyDescent="0.25">
      <c r="A1298" t="str">
        <f>"01865"</f>
        <v>01865</v>
      </c>
      <c r="B1298" t="str">
        <f>"CINTA AUTOMOTOR PREMIUM AMARILLA  N48 - SHERWIN"</f>
        <v>CINTA AUTOMOTOR PREMIUM AMARILLA  N48 - SHERWIN</v>
      </c>
      <c r="C1298">
        <v>5538.47</v>
      </c>
      <c r="D1298">
        <v>6701.5487000000003</v>
      </c>
    </row>
    <row r="1299" spans="1:4" x14ac:dyDescent="0.25">
      <c r="A1299" t="str">
        <f>"01866"</f>
        <v>01866</v>
      </c>
      <c r="B1299" t="str">
        <f>"CINTA AUTOMOTOR PREMIUM AMARILLA N18 - SHERWIN"</f>
        <v>CINTA AUTOMOTOR PREMIUM AMARILLA N18 - SHERWIN</v>
      </c>
      <c r="C1299">
        <v>2077.27</v>
      </c>
      <c r="D1299">
        <v>2513.4966999999997</v>
      </c>
    </row>
    <row r="1300" spans="1:4" x14ac:dyDescent="0.25">
      <c r="A1300" t="str">
        <f>"01867"</f>
        <v>01867</v>
      </c>
      <c r="B1300" t="str">
        <f>"CINTA AZUL PREMIUM N24 - SHERWIN WILLIAMS"</f>
        <v>CINTA AZUL PREMIUM N24 - SHERWIN WILLIAMS</v>
      </c>
      <c r="C1300">
        <v>2902.19</v>
      </c>
      <c r="D1300">
        <v>3511.6498999999999</v>
      </c>
    </row>
    <row r="1301" spans="1:4" x14ac:dyDescent="0.25">
      <c r="A1301" t="str">
        <f>"01868"</f>
        <v>01868</v>
      </c>
      <c r="B1301" t="str">
        <f>"CINTA AZUL PREMIUM N36 - SHERWIN WILLIAMS"</f>
        <v>CINTA AZUL PREMIUM N36 - SHERWIN WILLIAMS</v>
      </c>
      <c r="C1301">
        <v>4353.28</v>
      </c>
      <c r="D1301">
        <v>5267.4687999999996</v>
      </c>
    </row>
    <row r="1302" spans="1:4" x14ac:dyDescent="0.25">
      <c r="A1302" t="str">
        <f>"01869"</f>
        <v>01869</v>
      </c>
      <c r="B1302" t="str">
        <f>"CINTA AZUL PREMIUM N48 - SHERWIN WILLIAMS"</f>
        <v>CINTA AZUL PREMIUM N48 - SHERWIN WILLIAMS</v>
      </c>
      <c r="C1302">
        <v>5804.37</v>
      </c>
      <c r="D1302">
        <v>7023.2876999999999</v>
      </c>
    </row>
    <row r="1303" spans="1:4" x14ac:dyDescent="0.25">
      <c r="A1303" t="str">
        <f>"01870"</f>
        <v>01870</v>
      </c>
      <c r="B1303" t="str">
        <f>"CINTA AZUL PREMIUN N18 - SHERWIN WILLIAMS"</f>
        <v>CINTA AZUL PREMIUN N18 - SHERWIN WILLIAMS</v>
      </c>
      <c r="C1303">
        <v>2177.09</v>
      </c>
      <c r="D1303">
        <v>2634.2789000000002</v>
      </c>
    </row>
    <row r="1304" spans="1:4" x14ac:dyDescent="0.25">
      <c r="A1304" t="str">
        <f>"01871"</f>
        <v>01871</v>
      </c>
      <c r="B1304" t="str">
        <f>"CINTA FASTLINE BLANCA 18X 40  - SHERWIN WILLIAMS"</f>
        <v>CINTA FASTLINE BLANCA 18X 40  - SHERWIN WILLIAMS</v>
      </c>
      <c r="C1304">
        <v>1579.05</v>
      </c>
      <c r="D1304">
        <v>1910.6505</v>
      </c>
    </row>
    <row r="1305" spans="1:4" x14ac:dyDescent="0.25">
      <c r="A1305" t="str">
        <f>"01872"</f>
        <v>01872</v>
      </c>
      <c r="B1305" t="str">
        <f>"CINTA FASTLINE BLANCA 24X40 - SHERWIN WILLIAMS"</f>
        <v>CINTA FASTLINE BLANCA 24X40 - SHERWIN WILLIAMS</v>
      </c>
      <c r="C1305">
        <v>2104.4899999999998</v>
      </c>
      <c r="D1305">
        <v>2546.4328999999998</v>
      </c>
    </row>
    <row r="1306" spans="1:4" x14ac:dyDescent="0.25">
      <c r="A1306" t="str">
        <f>"01873"</f>
        <v>01873</v>
      </c>
      <c r="B1306" t="str">
        <f>"CINTA FASTLINE BLANCA 38X40 - SHERWIN WILLIAMS"</f>
        <v>CINTA FASTLINE BLANCA 38X40 - SHERWIN WILLIAMS</v>
      </c>
      <c r="C1306">
        <v>3157.19</v>
      </c>
      <c r="D1306">
        <v>3820.1999000000001</v>
      </c>
    </row>
    <row r="1307" spans="1:4" x14ac:dyDescent="0.25">
      <c r="A1307" t="str">
        <f>"01874"</f>
        <v>01874</v>
      </c>
      <c r="B1307" t="str">
        <f>"CINTA FASTLINE BLANCA 48X40 - SHERWIN WILLIAMS"</f>
        <v>CINTA FASTLINE BLANCA 48X40 - SHERWIN WILLIAMS</v>
      </c>
      <c r="C1307">
        <v>4208.9799999999996</v>
      </c>
      <c r="D1307">
        <v>5092.8657999999996</v>
      </c>
    </row>
    <row r="1308" spans="1:4" x14ac:dyDescent="0.25">
      <c r="A1308" t="str">
        <f>"01875"</f>
        <v>01875</v>
      </c>
      <c r="B1308" t="str">
        <f>"KIT BARNIZ 8937 CATALIZADOR 065 0,9 - SHERWIN WILLIAMS"</f>
        <v>KIT BARNIZ 8937 CATALIZADOR 065 0,9 - SHERWIN WILLIAMS</v>
      </c>
      <c r="C1308">
        <v>46903.05</v>
      </c>
      <c r="D1308">
        <v>56752.690500000004</v>
      </c>
    </row>
    <row r="1309" spans="1:4" x14ac:dyDescent="0.25">
      <c r="A1309" t="str">
        <f>"01876"</f>
        <v>01876</v>
      </c>
      <c r="B1309" t="str">
        <f>"KIT SOLDADURA PLASTICA INSTANTANEA 50GR - SHERWIN WILLIAMS"</f>
        <v>KIT SOLDADURA PLASTICA INSTANTANEA 50GR - SHERWIN WILLIAMS</v>
      </c>
      <c r="C1309">
        <v>25689.51</v>
      </c>
      <c r="D1309">
        <v>31084.307099999998</v>
      </c>
    </row>
    <row r="1310" spans="1:4" x14ac:dyDescent="0.25">
      <c r="A1310" t="str">
        <f>"01877"</f>
        <v>01877</v>
      </c>
      <c r="B1310" t="str">
        <f>"LACA NITRO GRAFITO PARA LLANTAS X 0.9 - SHERWIN WILIAMN"</f>
        <v>LACA NITRO GRAFITO PARA LLANTAS X 0.9 - SHERWIN WILIAMN</v>
      </c>
      <c r="C1310">
        <v>24376.77</v>
      </c>
      <c r="D1310">
        <v>29495.8917</v>
      </c>
    </row>
    <row r="1311" spans="1:4" x14ac:dyDescent="0.25">
      <c r="A1311" t="str">
        <f>"01878"</f>
        <v>01878</v>
      </c>
      <c r="B1311" t="str">
        <f>"PASTA PARA PULIR 106 AL AGUA X 1 KG - SHERWIN WILIAMS"</f>
        <v>PASTA PARA PULIR 106 AL AGUA X 1 KG - SHERWIN WILIAMS</v>
      </c>
      <c r="C1311">
        <v>23339.7</v>
      </c>
      <c r="D1311">
        <v>28241.037</v>
      </c>
    </row>
    <row r="1312" spans="1:4" x14ac:dyDescent="0.25">
      <c r="A1312" t="str">
        <f>"01879"</f>
        <v>01879</v>
      </c>
      <c r="B1312" t="str">
        <f>"AEROSOL RUST OLEUM BLANCO EPOXI ELECTRODOMESTICO - RUST OLEUM"</f>
        <v>AEROSOL RUST OLEUM BLANCO EPOXI ELECTRODOMESTICO - RUST OLEUM</v>
      </c>
      <c r="C1312">
        <v>28955.81</v>
      </c>
      <c r="D1312">
        <v>35036.530100000004</v>
      </c>
    </row>
    <row r="1313" spans="1:4" x14ac:dyDescent="0.25">
      <c r="A1313" t="str">
        <f>"01880"</f>
        <v>01880</v>
      </c>
      <c r="B1313" t="str">
        <f>"AEROSOL RUST OLEUM NEGRO EPOXI ELECTRODOMESTICO - RUST OLEUM"</f>
        <v>AEROSOL RUST OLEUM NEGRO EPOXI ELECTRODOMESTICO - RUST OLEUM</v>
      </c>
      <c r="C1313">
        <v>28955.81</v>
      </c>
      <c r="D1313">
        <v>35036.530100000004</v>
      </c>
    </row>
    <row r="1314" spans="1:4" x14ac:dyDescent="0.25">
      <c r="A1314" t="str">
        <f>"01881"</f>
        <v>01881</v>
      </c>
      <c r="B1314" t="str">
        <f>"AEROSOL ALTA TEMPERATURA 650°  NEGRO MATE - RUST OLEUM"</f>
        <v>AEROSOL ALTA TEMPERATURA 650°  NEGRO MATE - RUST OLEUM</v>
      </c>
      <c r="C1314">
        <v>33041.58</v>
      </c>
      <c r="D1314">
        <v>39980.311800000003</v>
      </c>
    </row>
    <row r="1315" spans="1:4" x14ac:dyDescent="0.25">
      <c r="A1315" t="str">
        <f>"01883"</f>
        <v>01883</v>
      </c>
      <c r="B1315" t="str">
        <f>"AEROSOL REMOVIBLE NEGRO BRILLANTE - RUST OLEUM"</f>
        <v>AEROSOL REMOVIBLE NEGRO BRILLANTE - RUST OLEUM</v>
      </c>
      <c r="C1315">
        <v>22140.36</v>
      </c>
      <c r="D1315">
        <v>26789.835599999999</v>
      </c>
    </row>
    <row r="1316" spans="1:4" x14ac:dyDescent="0.25">
      <c r="A1316" t="str">
        <f>"01885"</f>
        <v>01885</v>
      </c>
      <c r="B1316" t="str">
        <f>"AEROSOL LLANTAS  - RINES GRAFITO - RUST OLEUM"</f>
        <v>AEROSOL LLANTAS  - RINES GRAFITO - RUST OLEUM</v>
      </c>
      <c r="C1316">
        <v>30838.37</v>
      </c>
      <c r="D1316">
        <v>37314.4277</v>
      </c>
    </row>
    <row r="1317" spans="1:4" x14ac:dyDescent="0.25">
      <c r="A1317" t="str">
        <f>"01886"</f>
        <v>01886</v>
      </c>
      <c r="B1317" t="str">
        <f>"AEROSOL LLANTAS - RINES NEGRO MATE - RUST OLEUM"</f>
        <v>AEROSOL LLANTAS - RINES NEGRO MATE - RUST OLEUM</v>
      </c>
      <c r="C1317">
        <v>30838.37</v>
      </c>
      <c r="D1317">
        <v>37314.4277</v>
      </c>
    </row>
    <row r="1318" spans="1:4" x14ac:dyDescent="0.25">
      <c r="A1318" t="str">
        <f>"01887"</f>
        <v>01887</v>
      </c>
      <c r="B1318" t="str">
        <f>"AEROSOL MOTOR ALTA TEMPERATURA 1093°  NEGRO MATE - RUST OLEUM"</f>
        <v>AEROSOL MOTOR ALTA TEMPERATURA 1093°  NEGRO MATE - RUST OLEUM</v>
      </c>
      <c r="C1318">
        <v>34381.300000000003</v>
      </c>
      <c r="D1318">
        <v>41601.373</v>
      </c>
    </row>
    <row r="1319" spans="1:4" x14ac:dyDescent="0.25">
      <c r="A1319" t="str">
        <f>"01888"</f>
        <v>01888</v>
      </c>
      <c r="B1319" t="str">
        <f>"AEROSOL MOTOR ALTA TEMPERATURA 1093° ALUMINIO - RUST OLEUM"</f>
        <v>AEROSOL MOTOR ALTA TEMPERATURA 1093° ALUMINIO - RUST OLEUM</v>
      </c>
      <c r="C1319">
        <v>34381.300000000003</v>
      </c>
      <c r="D1319">
        <v>41601.373</v>
      </c>
    </row>
    <row r="1320" spans="1:4" x14ac:dyDescent="0.25">
      <c r="A1320" t="str">
        <f>"01890"</f>
        <v>01890</v>
      </c>
      <c r="B1320" t="str">
        <f>"AEROSOL ULTRA COVER 2 X NEGRO BRILLANTE - RUST OLEUM"</f>
        <v>AEROSOL ULTRA COVER 2 X NEGRO BRILLANTE - RUST OLEUM</v>
      </c>
      <c r="C1320">
        <v>21605.67</v>
      </c>
      <c r="D1320">
        <v>26142.860699999997</v>
      </c>
    </row>
    <row r="1321" spans="1:4" x14ac:dyDescent="0.25">
      <c r="A1321" t="str">
        <f>"01891"</f>
        <v>01891</v>
      </c>
      <c r="B1321" t="str">
        <f>"AEROSOL ULTRA COVER 2X BLANCO BRILLANTE -  RUST OLEUM"</f>
        <v>AEROSOL ULTRA COVER 2X BLANCO BRILLANTE -  RUST OLEUM</v>
      </c>
      <c r="C1321">
        <v>21605.67</v>
      </c>
      <c r="D1321">
        <v>26142.860699999997</v>
      </c>
    </row>
    <row r="1322" spans="1:4" x14ac:dyDescent="0.25">
      <c r="A1322" t="str">
        <f>"01892"</f>
        <v>01892</v>
      </c>
      <c r="B1322" t="str">
        <f>"AEROSOL ULTRA COVER 2X BLANCO MATE - RUST OLEUM"</f>
        <v>AEROSOL ULTRA COVER 2X BLANCO MATE - RUST OLEUM</v>
      </c>
      <c r="C1322">
        <v>21605.67</v>
      </c>
      <c r="D1322">
        <v>26142.860699999997</v>
      </c>
    </row>
    <row r="1323" spans="1:4" x14ac:dyDescent="0.25">
      <c r="A1323" t="str">
        <f>"01893"</f>
        <v>01893</v>
      </c>
      <c r="B1323" t="str">
        <f>"AEROSOL ULTRA COVER 2X BLANCO SEMI BRILLANTE - RUST OLEUM"</f>
        <v>AEROSOL ULTRA COVER 2X BLANCO SEMI BRILLANTE - RUST OLEUM</v>
      </c>
      <c r="C1323">
        <v>21605.67</v>
      </c>
      <c r="D1323">
        <v>26142.860699999997</v>
      </c>
    </row>
    <row r="1324" spans="1:4" x14ac:dyDescent="0.25">
      <c r="A1324" t="str">
        <f>"01894"</f>
        <v>01894</v>
      </c>
      <c r="B1324" t="str">
        <f>"AEROSOL ULTRA COVER 2X NEGRO MATE - RUST OLEUM"</f>
        <v>AEROSOL ULTRA COVER 2X NEGRO MATE - RUST OLEUM</v>
      </c>
      <c r="C1324">
        <v>21605.62</v>
      </c>
      <c r="D1324">
        <v>26142.800199999998</v>
      </c>
    </row>
    <row r="1325" spans="1:4" x14ac:dyDescent="0.25">
      <c r="A1325" t="str">
        <f>"01895"</f>
        <v>01895</v>
      </c>
      <c r="B1325" t="str">
        <f>"AEROSOL ULTRA COVER 2X NEGRO SEMI BRILLANTE - RUST OLEUM"</f>
        <v>AEROSOL ULTRA COVER 2X NEGRO SEMI BRILLANTE - RUST OLEUM</v>
      </c>
      <c r="C1325">
        <v>21605.62</v>
      </c>
      <c r="D1325">
        <v>26142.800199999998</v>
      </c>
    </row>
    <row r="1326" spans="1:4" x14ac:dyDescent="0.25">
      <c r="A1326" t="str">
        <f>"01897"</f>
        <v>01897</v>
      </c>
      <c r="B1326" t="str">
        <f>"AEROSOL ULTRA COVER 2X TRANSPARENTE BRILLANTE - RUST OLEUM"</f>
        <v>AEROSOL ULTRA COVER 2X TRANSPARENTE BRILLANTE - RUST OLEUM</v>
      </c>
      <c r="C1326">
        <v>21605.62</v>
      </c>
      <c r="D1326">
        <v>26142.800199999998</v>
      </c>
    </row>
    <row r="1327" spans="1:4" x14ac:dyDescent="0.25">
      <c r="A1327" t="str">
        <f>"01898"</f>
        <v>01898</v>
      </c>
      <c r="B1327" t="str">
        <f>"AEROSOL ULTRA COVER 2X TRANSPARENTE MATE - RUST OLEUM"</f>
        <v>AEROSOL ULTRA COVER 2X TRANSPARENTE MATE - RUST OLEUM</v>
      </c>
      <c r="C1327">
        <v>21605.62</v>
      </c>
      <c r="D1327">
        <v>26142.800199999998</v>
      </c>
    </row>
    <row r="1328" spans="1:4" x14ac:dyDescent="0.25">
      <c r="A1328" t="str">
        <f>"01899"</f>
        <v>01899</v>
      </c>
      <c r="B1328" t="str">
        <f>"AEROSOL ULTRA COVER 2X TURQUESA BRILLANTE - RUST OLEUM"</f>
        <v>AEROSOL ULTRA COVER 2X TURQUESA BRILLANTE - RUST OLEUM</v>
      </c>
      <c r="C1328">
        <v>21605.62</v>
      </c>
      <c r="D1328">
        <v>26142.800199999998</v>
      </c>
    </row>
    <row r="1329" spans="1:4" x14ac:dyDescent="0.25">
      <c r="A1329" t="str">
        <f>"01901"</f>
        <v>01901</v>
      </c>
      <c r="B1329" t="str">
        <f>"AEROSOL 94 BLANCO MATE"</f>
        <v>AEROSOL 94 BLANCO MATE</v>
      </c>
      <c r="C1329">
        <v>18972.95</v>
      </c>
      <c r="D1329">
        <v>22957.269499999999</v>
      </c>
    </row>
    <row r="1330" spans="1:4" x14ac:dyDescent="0.25">
      <c r="A1330" t="str">
        <f>"01902"</f>
        <v>01902</v>
      </c>
      <c r="B1330" t="str">
        <f>"AEROSOL 94 NEGRO MATE"</f>
        <v>AEROSOL 94 NEGRO MATE</v>
      </c>
      <c r="C1330">
        <v>18972.95</v>
      </c>
      <c r="D1330">
        <v>22957.269499999999</v>
      </c>
    </row>
    <row r="1331" spans="1:4" x14ac:dyDescent="0.25">
      <c r="A1331" t="str">
        <f>"01905"</f>
        <v>01905</v>
      </c>
      <c r="B1331" t="str">
        <f>"AEROSOL BLANCO DIVINIDAD BRILLANTE - HAR4DCORE"</f>
        <v>AEROSOL BLANCO DIVINIDAD BRILLANTE - HAR4DCORE</v>
      </c>
      <c r="C1331">
        <v>17660.09</v>
      </c>
      <c r="D1331">
        <v>21368.708899999998</v>
      </c>
    </row>
    <row r="1332" spans="1:4" x14ac:dyDescent="0.25">
      <c r="A1332" t="str">
        <f>"01906"</f>
        <v>01906</v>
      </c>
      <c r="B1332" t="str">
        <f>"AEROSOL BLANCO SATINADO - HARDCORE"</f>
        <v>AEROSOL BLANCO SATINADO - HARDCORE</v>
      </c>
      <c r="C1332">
        <v>17660.09</v>
      </c>
      <c r="D1332">
        <v>21368.708899999998</v>
      </c>
    </row>
    <row r="1333" spans="1:4" x14ac:dyDescent="0.25">
      <c r="A1333" t="str">
        <f>"01909"</f>
        <v>01909</v>
      </c>
      <c r="B1333" t="str">
        <f>"AEROSOL PRO ANTICALORICA NEGRO"</f>
        <v>AEROSOL PRO ANTICALORICA NEGRO</v>
      </c>
      <c r="C1333">
        <v>28247.68</v>
      </c>
      <c r="D1333">
        <v>34179.692799999997</v>
      </c>
    </row>
    <row r="1334" spans="1:4" x14ac:dyDescent="0.25">
      <c r="A1334" t="str">
        <f>"01911"</f>
        <v>01911</v>
      </c>
      <c r="B1334" t="str">
        <f>"AEROSOL X 440 VERDE - ARISTO"</f>
        <v>AEROSOL X 440 VERDE - ARISTO</v>
      </c>
      <c r="C1334">
        <v>4640.46</v>
      </c>
      <c r="D1334">
        <v>5614.9565999999995</v>
      </c>
    </row>
    <row r="1335" spans="1:4" x14ac:dyDescent="0.25">
      <c r="A1335" t="str">
        <f>"01918"</f>
        <v>01918</v>
      </c>
      <c r="B1335" t="str">
        <f>"GASA BARNIZADA - ROBERLO"</f>
        <v>GASA BARNIZADA - ROBERLO</v>
      </c>
      <c r="C1335">
        <v>8671.23</v>
      </c>
      <c r="D1335">
        <v>10492.1883</v>
      </c>
    </row>
    <row r="1336" spans="1:4" x14ac:dyDescent="0.25">
      <c r="A1336" t="str">
        <f>"01921"</f>
        <v>01921</v>
      </c>
      <c r="B1336" t="str">
        <f>"PINCEL LINEA 131 N20- PINROLL"</f>
        <v>PINCEL LINEA 131 N20- PINROLL</v>
      </c>
      <c r="C1336">
        <v>2347.33</v>
      </c>
      <c r="D1336">
        <v>2840.2692999999999</v>
      </c>
    </row>
    <row r="1337" spans="1:4" x14ac:dyDescent="0.25">
      <c r="A1337" t="str">
        <f>"01923"</f>
        <v>01923</v>
      </c>
      <c r="B1337" t="str">
        <f>"PINCEL LINEA 131 N30 - PINROLL"</f>
        <v>PINCEL LINEA 131 N30 - PINROLL</v>
      </c>
      <c r="C1337">
        <v>3821.09</v>
      </c>
      <c r="D1337">
        <v>4623.5189</v>
      </c>
    </row>
    <row r="1338" spans="1:4" x14ac:dyDescent="0.25">
      <c r="A1338" t="str">
        <f>"01924"</f>
        <v>01924</v>
      </c>
      <c r="B1338" t="str">
        <f>"PINCEL LINEA 330 N10 - PINROLL"</f>
        <v>PINCEL LINEA 330 N10 - PINROLL</v>
      </c>
      <c r="C1338">
        <v>2927.46</v>
      </c>
      <c r="D1338">
        <v>3542.2266</v>
      </c>
    </row>
    <row r="1339" spans="1:4" x14ac:dyDescent="0.25">
      <c r="A1339" t="str">
        <f>"01925"</f>
        <v>01925</v>
      </c>
      <c r="B1339" t="str">
        <f>"PINCEL LINEA 330 N15- PINROLL"</f>
        <v>PINCEL LINEA 330 N15- PINROLL</v>
      </c>
      <c r="C1339">
        <v>4505.1000000000004</v>
      </c>
      <c r="D1339">
        <v>5451.1710000000003</v>
      </c>
    </row>
    <row r="1340" spans="1:4" x14ac:dyDescent="0.25">
      <c r="A1340" t="str">
        <f>"01927"</f>
        <v>01927</v>
      </c>
      <c r="B1340" t="str">
        <f>"PINCEL LINEA 330 N25 - PINROLL"</f>
        <v>PINCEL LINEA 330 N25 - PINROLL</v>
      </c>
      <c r="C1340">
        <v>7309.71</v>
      </c>
      <c r="D1340">
        <v>8844.7490999999991</v>
      </c>
    </row>
    <row r="1341" spans="1:4" x14ac:dyDescent="0.25">
      <c r="A1341" t="str">
        <f>"01928"</f>
        <v>01928</v>
      </c>
      <c r="B1341" t="str">
        <f>"PINCEL LINEA 330 N30 - PINROLL"</f>
        <v>PINCEL LINEA 330 N30 - PINROLL</v>
      </c>
      <c r="C1341">
        <v>9552.5400000000009</v>
      </c>
      <c r="D1341">
        <v>11558.573400000001</v>
      </c>
    </row>
    <row r="1342" spans="1:4" x14ac:dyDescent="0.25">
      <c r="A1342" t="str">
        <f>"01929"</f>
        <v>01929</v>
      </c>
      <c r="B1342" t="str">
        <f>"PINCEL LINEA 430 N10 - PINROLL"</f>
        <v>PINCEL LINEA 430 N10 - PINROLL</v>
      </c>
      <c r="C1342">
        <v>4050.5</v>
      </c>
      <c r="D1342">
        <v>4901.1049999999996</v>
      </c>
    </row>
    <row r="1343" spans="1:4" x14ac:dyDescent="0.25">
      <c r="A1343" t="str">
        <f>"01930"</f>
        <v>01930</v>
      </c>
      <c r="B1343" t="str">
        <f>"PINCEL LINEA 430 N15 - PINROLL"</f>
        <v>PINCEL LINEA 430 N15 - PINROLL</v>
      </c>
      <c r="C1343">
        <v>6057.6</v>
      </c>
      <c r="D1343">
        <v>7329.6959999999999</v>
      </c>
    </row>
    <row r="1344" spans="1:4" x14ac:dyDescent="0.25">
      <c r="A1344" t="str">
        <f>"01932"</f>
        <v>01932</v>
      </c>
      <c r="B1344" t="str">
        <f>"PINCEL LINEA 430 N25 -PINROLL"</f>
        <v>PINCEL LINEA 430 N25 -PINROLL</v>
      </c>
      <c r="C1344">
        <v>12447.35</v>
      </c>
      <c r="D1344">
        <v>15061.2935</v>
      </c>
    </row>
    <row r="1345" spans="1:4" x14ac:dyDescent="0.25">
      <c r="A1345" t="str">
        <f>"01933"</f>
        <v>01933</v>
      </c>
      <c r="B1345" t="str">
        <f>"PINCEL LINEA 430 N30 - PINROLL"</f>
        <v>PINCEL LINEA 430 N30 - PINROLL</v>
      </c>
      <c r="C1345">
        <v>16557.97</v>
      </c>
      <c r="D1345">
        <v>20035.143700000001</v>
      </c>
    </row>
    <row r="1346" spans="1:4" x14ac:dyDescent="0.25">
      <c r="A1346" t="str">
        <f>"01934"</f>
        <v>01934</v>
      </c>
      <c r="B1346" t="str">
        <f>"PINCELETA N°40 - PINROLL"</f>
        <v>PINCELETA N°40 - PINROLL</v>
      </c>
      <c r="C1346">
        <v>3700.5</v>
      </c>
      <c r="D1346">
        <v>4477.6049999999996</v>
      </c>
    </row>
    <row r="1347" spans="1:4" x14ac:dyDescent="0.25">
      <c r="A1347" t="str">
        <f>"01940"</f>
        <v>01940</v>
      </c>
      <c r="B1347" t="str">
        <f>"RODILLO ACRILICO MULTIBLOCK - PINROLL"</f>
        <v>RODILLO ACRILICO MULTIBLOCK - PINROLL</v>
      </c>
      <c r="C1347">
        <v>10897.51</v>
      </c>
      <c r="D1347">
        <v>13185.9871</v>
      </c>
    </row>
    <row r="1348" spans="1:4" x14ac:dyDescent="0.25">
      <c r="A1348" t="str">
        <f>"01944"</f>
        <v>01944</v>
      </c>
      <c r="B1348" t="str">
        <f>"ATACAMA ESCUDO SOLAR X 20L - VENEZIA"</f>
        <v>ATACAMA ESCUDO SOLAR X 20L - VENEZIA</v>
      </c>
      <c r="C1348">
        <v>196512.38</v>
      </c>
      <c r="D1348">
        <v>237779.9798</v>
      </c>
    </row>
    <row r="1349" spans="1:4" x14ac:dyDescent="0.25">
      <c r="A1349" t="str">
        <f>"01945"</f>
        <v>01945</v>
      </c>
      <c r="B1349" t="str">
        <f>"BASE NIVELADORA MULTIPROPOSITO 5KL"</f>
        <v>BASE NIVELADORA MULTIPROPOSITO 5KL</v>
      </c>
      <c r="C1349">
        <v>23636.29</v>
      </c>
      <c r="D1349">
        <v>28599.910899999999</v>
      </c>
    </row>
    <row r="1350" spans="1:4" x14ac:dyDescent="0.25">
      <c r="A1350" t="str">
        <f>"01946"</f>
        <v>01946</v>
      </c>
      <c r="B1350" t="str">
        <f>"BASE NIVELADORA MULTIPROPOSITO X 25KL"</f>
        <v>BASE NIVELADORA MULTIPROPOSITO X 25KL</v>
      </c>
      <c r="C1350">
        <v>94520.44</v>
      </c>
      <c r="D1350">
        <v>114369.73239999999</v>
      </c>
    </row>
    <row r="1351" spans="1:4" x14ac:dyDescent="0.25">
      <c r="A1351" t="str">
        <f>"01947"</f>
        <v>01947</v>
      </c>
      <c r="B1351" t="str">
        <f>"CREATIVE HORMIGON GRIS CEMENTO X 15 KL - VENEZIA"</f>
        <v>CREATIVE HORMIGON GRIS CEMENTO X 15 KL - VENEZIA</v>
      </c>
      <c r="C1351">
        <v>88386.19</v>
      </c>
      <c r="D1351">
        <v>106947.2899</v>
      </c>
    </row>
    <row r="1352" spans="1:4" x14ac:dyDescent="0.25">
      <c r="A1352" t="str">
        <f>"01948"</f>
        <v>01948</v>
      </c>
      <c r="B1352" t="str">
        <f>"IMPERTEX FONDO PARA TEXTURADO COLORES STOCK X 20KL - SITEX"</f>
        <v>IMPERTEX FONDO PARA TEXTURADO COLORES STOCK X 20KL - SITEX</v>
      </c>
      <c r="C1352">
        <v>106211.35</v>
      </c>
      <c r="D1352">
        <v>128515.7335</v>
      </c>
    </row>
    <row r="1353" spans="1:4" x14ac:dyDescent="0.25">
      <c r="A1353" t="str">
        <f>"01949"</f>
        <v>01949</v>
      </c>
      <c r="B1353" t="str">
        <f>"RELUCE MULTIPROPOSITO X 20KL COLORES - VENEZIA"</f>
        <v>RELUCE MULTIPROPOSITO X 20KL COLORES - VENEZIA</v>
      </c>
      <c r="C1353">
        <v>131499.76999999999</v>
      </c>
      <c r="D1353">
        <v>159114.72169999999</v>
      </c>
    </row>
    <row r="1354" spans="1:4" x14ac:dyDescent="0.25">
      <c r="A1354" t="str">
        <f>"01951"</f>
        <v>01951</v>
      </c>
      <c r="B1354" t="str">
        <f>"TEXTURADO MARMOLATO BASE INTENSA MED. - 25KG - VENEZIA"</f>
        <v>TEXTURADO MARMOLATO BASE INTENSA MED. - 25KG - VENEZIA</v>
      </c>
      <c r="C1354">
        <v>92284.28</v>
      </c>
      <c r="D1354">
        <v>111663.9788</v>
      </c>
    </row>
    <row r="1355" spans="1:4" x14ac:dyDescent="0.25">
      <c r="A1355" t="str">
        <f>"01952"</f>
        <v>01952</v>
      </c>
      <c r="B1355" t="str">
        <f>"TEXTURADO MARMOLATO BEIGE ROMA MED. - 25KG - VENEZIA"</f>
        <v>TEXTURADO MARMOLATO BEIGE ROMA MED. - 25KG - VENEZIA</v>
      </c>
      <c r="C1355">
        <v>92284.28</v>
      </c>
      <c r="D1355">
        <v>111663.9788</v>
      </c>
    </row>
    <row r="1356" spans="1:4" x14ac:dyDescent="0.25">
      <c r="A1356" t="str">
        <f>"01953"</f>
        <v>01953</v>
      </c>
      <c r="B1356" t="str">
        <f>"TEXTURADO MARMOLATO FINO BASE INTENSA X 25KG - VENEZIA"</f>
        <v>TEXTURADO MARMOLATO FINO BASE INTENSA X 25KG - VENEZIA</v>
      </c>
      <c r="C1356">
        <v>92284.28</v>
      </c>
      <c r="D1356">
        <v>111663.9788</v>
      </c>
    </row>
    <row r="1357" spans="1:4" x14ac:dyDescent="0.25">
      <c r="A1357" t="str">
        <f>"01954"</f>
        <v>01954</v>
      </c>
      <c r="B1357" t="str">
        <f>"TEXTURADO MARMOLATO FINO BLANCO X 25KL - VENEZIA"</f>
        <v>TEXTURADO MARMOLATO FINO BLANCO X 25KL - VENEZIA</v>
      </c>
      <c r="C1357">
        <v>92284.28</v>
      </c>
      <c r="D1357">
        <v>111663.9788</v>
      </c>
    </row>
    <row r="1358" spans="1:4" x14ac:dyDescent="0.25">
      <c r="A1358" t="str">
        <f>"01955"</f>
        <v>01955</v>
      </c>
      <c r="B1358" t="str">
        <f>"TEXTURADO MARMOLATO FINO BLANCO X 5KG - VENEZIA"</f>
        <v>TEXTURADO MARMOLATO FINO BLANCO X 5KG - VENEZIA</v>
      </c>
      <c r="C1358">
        <v>22916.68</v>
      </c>
      <c r="D1358">
        <v>27729.182799999999</v>
      </c>
    </row>
    <row r="1359" spans="1:4" x14ac:dyDescent="0.25">
      <c r="A1359" t="str">
        <f>"01956"</f>
        <v>01956</v>
      </c>
      <c r="B1359" t="str">
        <f>"TEXTURADO MARMOLATO FINO NATURAL X 25KL - VENEZIA"</f>
        <v>TEXTURADO MARMOLATO FINO NATURAL X 25KL - VENEZIA</v>
      </c>
      <c r="C1359">
        <v>92284.28</v>
      </c>
      <c r="D1359">
        <v>111663.9788</v>
      </c>
    </row>
    <row r="1360" spans="1:4" x14ac:dyDescent="0.25">
      <c r="A1360" t="str">
        <f>"01957"</f>
        <v>01957</v>
      </c>
      <c r="B1360" t="str">
        <f>"TEXTURADO MARMOLATO MEDIANO BLANCO X 25KG - VENEZIA"</f>
        <v>TEXTURADO MARMOLATO MEDIANO BLANCO X 25KG - VENEZIA</v>
      </c>
      <c r="C1360">
        <v>92284.28</v>
      </c>
      <c r="D1360">
        <v>111663.9788</v>
      </c>
    </row>
    <row r="1361" spans="1:4" x14ac:dyDescent="0.25">
      <c r="A1361" t="str">
        <f>"01958"</f>
        <v>01958</v>
      </c>
      <c r="B1361" t="str">
        <f>"TEXTURADO MARMOLATO MEDIANO NUEZ X 25KG - VENEZIA"</f>
        <v>TEXTURADO MARMOLATO MEDIANO NUEZ X 25KG - VENEZIA</v>
      </c>
      <c r="C1361">
        <v>92284.28</v>
      </c>
      <c r="D1361">
        <v>111663.9788</v>
      </c>
    </row>
    <row r="1362" spans="1:4" x14ac:dyDescent="0.25">
      <c r="A1362" t="str">
        <f>"01959"</f>
        <v>01959</v>
      </c>
      <c r="B1362" t="str">
        <f>"TEXTURADO MARMOLATO MEDIO BLANCO X 5KG - VENEZIA"</f>
        <v>TEXTURADO MARMOLATO MEDIO BLANCO X 5KG - VENEZIA</v>
      </c>
      <c r="C1362">
        <v>22916.68</v>
      </c>
      <c r="D1362">
        <v>27729.182799999999</v>
      </c>
    </row>
    <row r="1363" spans="1:4" x14ac:dyDescent="0.25">
      <c r="A1363" t="str">
        <f>"01960"</f>
        <v>01960</v>
      </c>
      <c r="B1363" t="str">
        <f>"MICROCEMENTO VENEZIA (MICROKIT) BASE A (10KL) + BASE B (5KL) - VENEZIA"</f>
        <v>MICROCEMENTO VENEZIA (MICROKIT) BASE A (10KL) + BASE B (5KL) - VENEZIA</v>
      </c>
      <c r="C1363">
        <v>84368.63</v>
      </c>
      <c r="D1363">
        <v>102086.0423</v>
      </c>
    </row>
    <row r="1364" spans="1:4" x14ac:dyDescent="0.25">
      <c r="A1364" t="str">
        <f>"01961"</f>
        <v>01961</v>
      </c>
      <c r="B1364" t="str">
        <f>"TEXTURADO PIEDRA HISTORICA BASE PASTEL X 25KG - VENEZIA"</f>
        <v>TEXTURADO PIEDRA HISTORICA BASE PASTEL X 25KG - VENEZIA</v>
      </c>
      <c r="C1364">
        <v>102527.81</v>
      </c>
      <c r="D1364">
        <v>124058.6501</v>
      </c>
    </row>
    <row r="1365" spans="1:4" x14ac:dyDescent="0.25">
      <c r="A1365" t="str">
        <f>"01962"</f>
        <v>01962</v>
      </c>
      <c r="B1365" t="str">
        <f>"TEXTURADO PIEDRA HISTORICA NATURAL T X 25KG - VENEZIA"</f>
        <v>TEXTURADO PIEDRA HISTORICA NATURAL T X 25KG - VENEZIA</v>
      </c>
      <c r="C1365">
        <v>102527.81</v>
      </c>
      <c r="D1365">
        <v>124058.6501</v>
      </c>
    </row>
    <row r="1366" spans="1:4" x14ac:dyDescent="0.25">
      <c r="A1366" t="str">
        <f>"01963"</f>
        <v>01963</v>
      </c>
      <c r="B1366" t="str">
        <f>"TEXTURADO PIEDRA PARIS BASE INTENSA - 25KG - VENEZIA"</f>
        <v>TEXTURADO PIEDRA PARIS BASE INTENSA - 25KG - VENEZIA</v>
      </c>
      <c r="C1366">
        <v>102527.81</v>
      </c>
      <c r="D1366">
        <v>124058.6501</v>
      </c>
    </row>
    <row r="1367" spans="1:4" x14ac:dyDescent="0.25">
      <c r="A1367" t="str">
        <f>"01965"</f>
        <v>01965</v>
      </c>
      <c r="B1367" t="str">
        <f>"TEXTURADO PIEDRA PARIS NUEZ F - 25KG - VENEZIA"</f>
        <v>TEXTURADO PIEDRA PARIS NUEZ F - 25KG - VENEZIA</v>
      </c>
      <c r="C1367">
        <v>102527.81</v>
      </c>
      <c r="D1367">
        <v>124058.6501</v>
      </c>
    </row>
    <row r="1368" spans="1:4" x14ac:dyDescent="0.25">
      <c r="A1368" t="str">
        <f>"01966"</f>
        <v>01966</v>
      </c>
      <c r="B1368" t="str">
        <f>"TEXTURADO STUCCADO VENEZIANO X 5KL - VENEZIA"</f>
        <v>TEXTURADO STUCCADO VENEZIANO X 5KL - VENEZIA</v>
      </c>
      <c r="C1368">
        <v>42095.6</v>
      </c>
      <c r="D1368">
        <v>50935.675999999999</v>
      </c>
    </row>
    <row r="1369" spans="1:4" x14ac:dyDescent="0.25">
      <c r="A1369" t="str">
        <f>"01967"</f>
        <v>01967</v>
      </c>
      <c r="B1369" t="str">
        <f>"TEXTURADO TRAVERTINO MEDIANO IMPERTEX X 250 KL - SITEX VENEZIA"</f>
        <v>TEXTURADO TRAVERTINO MEDIANO IMPERTEX X 250 KL - SITEX VENEZIA</v>
      </c>
      <c r="C1369">
        <v>701812.82</v>
      </c>
      <c r="D1369">
        <v>849193.51219999988</v>
      </c>
    </row>
    <row r="1370" spans="1:4" x14ac:dyDescent="0.25">
      <c r="A1370" t="str">
        <f>"01968"</f>
        <v>01968</v>
      </c>
      <c r="B1370" t="str">
        <f>"TEXTURADO TRAVERTINO MEDIANO IMPERTEX X 25KL - SITEX VENEZIA"</f>
        <v>TEXTURADO TRAVERTINO MEDIANO IMPERTEX X 25KL - SITEX VENEZIA</v>
      </c>
      <c r="C1370">
        <v>75463.75</v>
      </c>
      <c r="D1370">
        <v>91311.137499999997</v>
      </c>
    </row>
    <row r="1371" spans="1:4" x14ac:dyDescent="0.25">
      <c r="A1371" t="str">
        <f>"01969"</f>
        <v>01969</v>
      </c>
      <c r="B1371" t="str">
        <f>"CINTA PYTHON ALTA RESISTENCIA GRIS X 9 MTS"</f>
        <v>CINTA PYTHON ALTA RESISTENCIA GRIS X 9 MTS</v>
      </c>
      <c r="C1371">
        <v>7829.81</v>
      </c>
      <c r="D1371">
        <v>9474.0701000000008</v>
      </c>
    </row>
    <row r="1372" spans="1:4" x14ac:dyDescent="0.25">
      <c r="A1372" t="str">
        <f>"01970"</f>
        <v>01970</v>
      </c>
      <c r="B1372" t="str">
        <f>"EL PULPITO CARTUCHO 400GR - PULPITO"</f>
        <v>EL PULPITO CARTUCHO 400GR - PULPITO</v>
      </c>
      <c r="C1372">
        <v>17909.080000000002</v>
      </c>
      <c r="D1372">
        <v>21669.986800000002</v>
      </c>
    </row>
    <row r="1373" spans="1:4" x14ac:dyDescent="0.25">
      <c r="A1373" t="str">
        <f>"01971"</f>
        <v>01971</v>
      </c>
      <c r="B1373" t="str">
        <f>"PEGAMENTO LA GOTITA X 2ML"</f>
        <v>PEGAMENTO LA GOTITA X 2ML</v>
      </c>
      <c r="C1373">
        <v>2024.02</v>
      </c>
      <c r="D1373">
        <v>2449.0641999999998</v>
      </c>
    </row>
    <row r="1374" spans="1:4" x14ac:dyDescent="0.25">
      <c r="A1374" t="str">
        <f>"01972"</f>
        <v>01972</v>
      </c>
      <c r="B1374" t="str">
        <f>"POXIMIX EXTERIOR X 1.25KL"</f>
        <v>POXIMIX EXTERIOR X 1.25KL</v>
      </c>
      <c r="C1374">
        <v>5796.6</v>
      </c>
      <c r="D1374">
        <v>7013.8860000000004</v>
      </c>
    </row>
    <row r="1375" spans="1:4" x14ac:dyDescent="0.25">
      <c r="A1375" t="str">
        <f>"01973"</f>
        <v>01973</v>
      </c>
      <c r="B1375" t="str">
        <f>"POXIMIX EXTERIOR X 3KG"</f>
        <v>POXIMIX EXTERIOR X 3KG</v>
      </c>
      <c r="C1375">
        <v>12762.22</v>
      </c>
      <c r="D1375">
        <v>15442.286199999999</v>
      </c>
    </row>
    <row r="1376" spans="1:4" x14ac:dyDescent="0.25">
      <c r="A1376" t="str">
        <f>"01974"</f>
        <v>01974</v>
      </c>
      <c r="B1376" t="str">
        <f>"POXIMIX EXTERIOR X 5KL"</f>
        <v>POXIMIX EXTERIOR X 5KL</v>
      </c>
      <c r="C1376">
        <v>20416.98</v>
      </c>
      <c r="D1376">
        <v>24704.5458</v>
      </c>
    </row>
    <row r="1377" spans="1:4" x14ac:dyDescent="0.25">
      <c r="A1377" t="str">
        <f>"01975"</f>
        <v>01975</v>
      </c>
      <c r="B1377" t="str">
        <f>"POXIMIX INTERIOR X 1.25KL"</f>
        <v>POXIMIX INTERIOR X 1.25KL</v>
      </c>
      <c r="C1377">
        <v>5796.6</v>
      </c>
      <c r="D1377">
        <v>7013.8860000000004</v>
      </c>
    </row>
    <row r="1378" spans="1:4" x14ac:dyDescent="0.25">
      <c r="A1378" t="str">
        <f>"01976"</f>
        <v>01976</v>
      </c>
      <c r="B1378" t="str">
        <f>"POXIMIX INTERIOR X 3KL"</f>
        <v>POXIMIX INTERIOR X 3KL</v>
      </c>
      <c r="C1378">
        <v>12762.22</v>
      </c>
      <c r="D1378">
        <v>15442.286199999999</v>
      </c>
    </row>
    <row r="1379" spans="1:4" x14ac:dyDescent="0.25">
      <c r="A1379" t="str">
        <f>"01977"</f>
        <v>01977</v>
      </c>
      <c r="B1379" t="str">
        <f>"POXIMIX INTERIOR X 5KL"</f>
        <v>POXIMIX INTERIOR X 5KL</v>
      </c>
      <c r="C1379">
        <v>20416.98</v>
      </c>
      <c r="D1379">
        <v>24704.5458</v>
      </c>
    </row>
    <row r="1380" spans="1:4" x14ac:dyDescent="0.25">
      <c r="A1380" t="str">
        <f>"01978"</f>
        <v>01978</v>
      </c>
      <c r="B1380" t="str">
        <f>"IMPERVENIA MEMBRANA POLIURETANICA X 20L - VENIATEX"</f>
        <v>IMPERVENIA MEMBRANA POLIURETANICA X 20L - VENIATEX</v>
      </c>
      <c r="C1380">
        <v>103331.09</v>
      </c>
      <c r="D1380">
        <v>125030.61889999999</v>
      </c>
    </row>
    <row r="1381" spans="1:4" x14ac:dyDescent="0.25">
      <c r="A1381" t="str">
        <f>"01979"</f>
        <v>01979</v>
      </c>
      <c r="B1381" t="str">
        <f>"IMPERVENIA MEMBRANA POLIURETANICA X 10L - VENIATEX"</f>
        <v>IMPERVENIA MEMBRANA POLIURETANICA X 10L - VENIATEX</v>
      </c>
      <c r="C1381">
        <v>50845.81</v>
      </c>
      <c r="D1381">
        <v>61523.430099999998</v>
      </c>
    </row>
    <row r="1382" spans="1:4" x14ac:dyDescent="0.25">
      <c r="A1382" t="str">
        <f>"01980"</f>
        <v>01980</v>
      </c>
      <c r="B1382" t="str">
        <f>"IMPERVENIA MEMBRANA POLIURETANICA X 4L - VENIATEX"</f>
        <v>IMPERVENIA MEMBRANA POLIURETANICA X 4L - VENIATEX</v>
      </c>
      <c r="C1382">
        <v>23693.67</v>
      </c>
      <c r="D1382">
        <v>28669.340699999997</v>
      </c>
    </row>
    <row r="1383" spans="1:4" x14ac:dyDescent="0.25">
      <c r="A1383" t="str">
        <f>"01981"</f>
        <v>01981</v>
      </c>
      <c r="B1383" t="str">
        <f>"LATEX SUPER LAVABLE PREMIUM X 10L - VINIATEX"</f>
        <v>LATEX SUPER LAVABLE PREMIUM X 10L - VINIATEX</v>
      </c>
      <c r="C1383">
        <v>69440.75</v>
      </c>
      <c r="D1383">
        <v>84023.307499999995</v>
      </c>
    </row>
    <row r="1384" spans="1:4" x14ac:dyDescent="0.25">
      <c r="A1384" t="str">
        <f>"01982"</f>
        <v>01982</v>
      </c>
      <c r="B1384" t="str">
        <f>"LATEX SUPER LAVABLE PREMIUM X 1L - VINIATEX"</f>
        <v>LATEX SUPER LAVABLE PREMIUM X 1L - VINIATEX</v>
      </c>
      <c r="C1384">
        <v>8063.55</v>
      </c>
      <c r="D1384">
        <v>9756.8955000000005</v>
      </c>
    </row>
    <row r="1385" spans="1:4" x14ac:dyDescent="0.25">
      <c r="A1385" t="str">
        <f>"01983"</f>
        <v>01983</v>
      </c>
      <c r="B1385" t="str">
        <f>"LATEX SUPER LAVABLE PREMIUM X 20L - VINIATEX"</f>
        <v>LATEX SUPER LAVABLE PREMIUM X 20L - VINIATEX</v>
      </c>
      <c r="C1385">
        <v>133284.03</v>
      </c>
      <c r="D1385">
        <v>161273.67629999999</v>
      </c>
    </row>
    <row r="1386" spans="1:4" x14ac:dyDescent="0.25">
      <c r="A1386" t="str">
        <f>"01984"</f>
        <v>01984</v>
      </c>
      <c r="B1386" t="str">
        <f>"LATEX SUPER LAVABLE PREMIUM X 4L -VENIATEX"</f>
        <v>LATEX SUPER LAVABLE PREMIUM X 4L -VENIATEX</v>
      </c>
      <c r="C1386">
        <v>29684.33</v>
      </c>
      <c r="D1386">
        <v>35918.039300000004</v>
      </c>
    </row>
    <row r="1387" spans="1:4" x14ac:dyDescent="0.25">
      <c r="A1387" t="str">
        <f>"01985"</f>
        <v>01985</v>
      </c>
      <c r="B1387" t="str">
        <f>"LATEX VENIACRIL LAVABLE INT EXT  X 4L - VENIATEX"</f>
        <v>LATEX VENIACRIL LAVABLE INT EXT  X 4L - VENIATEX</v>
      </c>
      <c r="C1387">
        <v>18928.8</v>
      </c>
      <c r="D1387">
        <v>22903.847999999998</v>
      </c>
    </row>
    <row r="1388" spans="1:4" x14ac:dyDescent="0.25">
      <c r="A1388" t="str">
        <f>"01986"</f>
        <v>01986</v>
      </c>
      <c r="B1388" t="str">
        <f>"LATEX VENIACRIL LAVABLE INT EXT X 20LT - VENIATEX"</f>
        <v>LATEX VENIACRIL LAVABLE INT EXT X 20LT - VENIATEX</v>
      </c>
      <c r="C1388">
        <v>79506.740000000005</v>
      </c>
      <c r="D1388">
        <v>96203.155400000003</v>
      </c>
    </row>
    <row r="1389" spans="1:4" x14ac:dyDescent="0.25">
      <c r="A1389" t="str">
        <f>"01987"</f>
        <v>01987</v>
      </c>
      <c r="B1389" t="str">
        <f>"LATEXVENIACRIL LAVABLE INT EXT  X 10L - VENIATEX"</f>
        <v>LATEXVENIACRIL LAVABLE INT EXT  X 10L - VENIATEX</v>
      </c>
      <c r="C1389">
        <v>42552.02</v>
      </c>
      <c r="D1389">
        <v>51487.944199999998</v>
      </c>
    </row>
    <row r="1390" spans="1:4" x14ac:dyDescent="0.25">
      <c r="A1390" t="str">
        <f>"01988"</f>
        <v>01988</v>
      </c>
      <c r="B1390" t="str">
        <f>"VENIADRIL IMPREGNANTE SILICONADO X 10LT - VENIATEX"</f>
        <v>VENIADRIL IMPREGNANTE SILICONADO X 10LT - VENIATEX</v>
      </c>
      <c r="C1390">
        <v>55919.99</v>
      </c>
      <c r="D1390">
        <v>67663.18789999999</v>
      </c>
    </row>
    <row r="1391" spans="1:4" x14ac:dyDescent="0.25">
      <c r="A1391" t="str">
        <f>"01989"</f>
        <v>01989</v>
      </c>
      <c r="B1391" t="str">
        <f>"VENIADRIL IMPREGNANTE SILICONADO X 20LT - VENIATEX"</f>
        <v>VENIADRIL IMPREGNANTE SILICONADO X 20LT - VENIATEX</v>
      </c>
      <c r="C1391">
        <v>106077.84</v>
      </c>
      <c r="D1391">
        <v>128354.18639999999</v>
      </c>
    </row>
    <row r="1392" spans="1:4" x14ac:dyDescent="0.25">
      <c r="A1392" t="str">
        <f>"01990"</f>
        <v>01990</v>
      </c>
      <c r="B1392" t="str">
        <f>"VENIADRIL IMPREGNANTE SILICONADO X 4LT - VENIATEX"</f>
        <v>VENIADRIL IMPREGNANTE SILICONADO X 4LT - VENIATEX</v>
      </c>
      <c r="C1392">
        <v>24332.22</v>
      </c>
      <c r="D1392">
        <v>29441.986199999999</v>
      </c>
    </row>
    <row r="1393" spans="1:4" x14ac:dyDescent="0.25">
      <c r="A1393" t="str">
        <f>"01991"</f>
        <v>01991</v>
      </c>
      <c r="B1393" t="str">
        <f>"VENIATEX 3 EN 1 GRIS BRILLANTE  X 4L- VENIATEX"</f>
        <v>VENIATEX 3 EN 1 GRIS BRILLANTE  X 4L- VENIATEX</v>
      </c>
      <c r="C1393">
        <v>37130.94</v>
      </c>
      <c r="D1393">
        <v>44928.437400000003</v>
      </c>
    </row>
    <row r="1394" spans="1:4" x14ac:dyDescent="0.25">
      <c r="A1394" t="str">
        <f>"01992"</f>
        <v>01992</v>
      </c>
      <c r="B1394" t="str">
        <f>"VENIATEX 3 EN 1 GRIS SATINADO X 1L- VENIATEX"</f>
        <v>VENIATEX 3 EN 1 GRIS SATINADO X 1L- VENIATEX</v>
      </c>
      <c r="C1394">
        <v>9169.2199999999993</v>
      </c>
      <c r="D1394">
        <v>11094.756199999998</v>
      </c>
    </row>
    <row r="1395" spans="1:4" x14ac:dyDescent="0.25">
      <c r="A1395" t="str">
        <f>"01993"</f>
        <v>01993</v>
      </c>
      <c r="B1395" t="str">
        <f>"VENIATEX 3 EN 1 NEGRO BRILLANTE X 4L- VENIATEX"</f>
        <v>VENIATEX 3 EN 1 NEGRO BRILLANTE X 4L- VENIATEX</v>
      </c>
      <c r="C1395">
        <v>36627.53</v>
      </c>
      <c r="D1395">
        <v>44319.311299999994</v>
      </c>
    </row>
    <row r="1396" spans="1:4" x14ac:dyDescent="0.25">
      <c r="A1396" t="str">
        <f>"01994"</f>
        <v>01994</v>
      </c>
      <c r="B1396" t="str">
        <f>"VACRI 4485 EPOXIPISO AUTOIMP GRIS HIELO X 20L (10L + 10L)"</f>
        <v>VACRI 4485 EPOXIPISO AUTOIMP GRIS HIELO X 20L (10L + 10L)</v>
      </c>
      <c r="C1396">
        <v>464016.9</v>
      </c>
      <c r="D1396">
        <v>561460.44900000002</v>
      </c>
    </row>
    <row r="1397" spans="1:4" x14ac:dyDescent="0.25">
      <c r="A1397" t="str">
        <f>"01995"</f>
        <v>01995</v>
      </c>
      <c r="B1397" t="str">
        <f>"VACRI 4800 MASILLA EPOXI X 8KG"</f>
        <v>VACRI 4800 MASILLA EPOXI X 8KG</v>
      </c>
      <c r="C1397">
        <v>161305.79</v>
      </c>
      <c r="D1397">
        <v>195180.00590000002</v>
      </c>
    </row>
    <row r="1398" spans="1:4" x14ac:dyDescent="0.25">
      <c r="A1398" t="str">
        <f>"01996"</f>
        <v>01996</v>
      </c>
      <c r="B1398" t="str">
        <f>"VACRIL1400 DILUYENTE EPOXI X 4 L"</f>
        <v>VACRIL1400 DILUYENTE EPOXI X 4 L</v>
      </c>
      <c r="C1398">
        <v>55232.2</v>
      </c>
      <c r="D1398">
        <v>66830.962</v>
      </c>
    </row>
    <row r="1399" spans="1:4" x14ac:dyDescent="0.25">
      <c r="A1399" t="str">
        <f>"01997"</f>
        <v>01997</v>
      </c>
      <c r="B1399" t="str">
        <f>"AUTOPOLISH CERA PROTECTORA PARA AUTOS – 0.900L - COLORIN"</f>
        <v>AUTOPOLISH CERA PROTECTORA PARA AUTOS – 0.900L - COLORIN</v>
      </c>
      <c r="C1399">
        <v>12758.74</v>
      </c>
      <c r="D1399">
        <v>15438.0754</v>
      </c>
    </row>
    <row r="1400" spans="1:4" x14ac:dyDescent="0.25">
      <c r="A1400" t="str">
        <f>"01998"</f>
        <v>01998</v>
      </c>
      <c r="B1400" t="str">
        <f>"AUTOPOLISH CERA PROTECTORA PARA AUTOS X 0.450L - COLORIN"</f>
        <v>AUTOPOLISH CERA PROTECTORA PARA AUTOS X 0.450L - COLORIN</v>
      </c>
      <c r="C1400">
        <v>7831.65</v>
      </c>
      <c r="D1400">
        <v>9476.2964999999986</v>
      </c>
    </row>
    <row r="1401" spans="1:4" x14ac:dyDescent="0.25">
      <c r="A1401" t="str">
        <f>"01999"</f>
        <v>01999</v>
      </c>
      <c r="B1401" t="str">
        <f>"AUTOPOLISH LUSTRE INTENSO - CLASICO X 0.450L - COLORIN"</f>
        <v>AUTOPOLISH LUSTRE INTENSO - CLASICO X 0.450L - COLORIN</v>
      </c>
      <c r="C1401">
        <v>7828.19</v>
      </c>
      <c r="D1401">
        <v>9472.1098999999995</v>
      </c>
    </row>
    <row r="1402" spans="1:4" x14ac:dyDescent="0.25">
      <c r="A1402" t="str">
        <f>"02000"</f>
        <v>02000</v>
      </c>
      <c r="B1402" t="str">
        <f>"AUTOPOLISH LUSTRE INTENSO - CLASICO X 0.900 L - COLORIN"</f>
        <v>AUTOPOLISH LUSTRE INTENSO - CLASICO X 0.900 L - COLORIN</v>
      </c>
      <c r="C1402">
        <v>12754.5</v>
      </c>
      <c r="D1402">
        <v>15432.945</v>
      </c>
    </row>
    <row r="1403" spans="1:4" x14ac:dyDescent="0.25">
      <c r="A1403" t="str">
        <f>"02002"</f>
        <v>02002</v>
      </c>
      <c r="B1403" t="str">
        <f>"PASTILLAS PARA PULIDORA GRANO 120"</f>
        <v>PASTILLAS PARA PULIDORA GRANO 120</v>
      </c>
      <c r="C1403">
        <v>358904.87</v>
      </c>
      <c r="D1403">
        <v>434274.89269999997</v>
      </c>
    </row>
    <row r="1404" spans="1:4" x14ac:dyDescent="0.25">
      <c r="A1404" t="str">
        <f>"02003"</f>
        <v>02003</v>
      </c>
      <c r="B1404" t="str">
        <f>"ROBLINER NEGRO KIT - ROBERLO"</f>
        <v>ROBLINER NEGRO KIT - ROBERLO</v>
      </c>
      <c r="C1404">
        <v>471573.71</v>
      </c>
      <c r="D1404">
        <v>570604.18909999996</v>
      </c>
    </row>
    <row r="1405" spans="1:4" x14ac:dyDescent="0.25">
      <c r="A1405" t="str">
        <f>"02004"</f>
        <v>02004</v>
      </c>
      <c r="B1405" t="str">
        <f>"BASE COAT  MONOCOMPONETE X 25KL - ANCLAFLEX"</f>
        <v>BASE COAT  MONOCOMPONETE X 25KL - ANCLAFLEX</v>
      </c>
      <c r="C1405">
        <v>16605.27</v>
      </c>
      <c r="D1405">
        <v>20092.376700000001</v>
      </c>
    </row>
    <row r="1406" spans="1:4" x14ac:dyDescent="0.25">
      <c r="A1406" t="str">
        <f>"02006"</f>
        <v>02006</v>
      </c>
      <c r="B1406" t="str">
        <f>"MASILLA ANCLAFLEX 15 KL - ANCLAFLEX"</f>
        <v>MASILLA ANCLAFLEX 15 KL - ANCLAFLEX</v>
      </c>
      <c r="C1406">
        <v>22304.57</v>
      </c>
      <c r="D1406">
        <v>26988.529699999999</v>
      </c>
    </row>
    <row r="1407" spans="1:4" x14ac:dyDescent="0.25">
      <c r="A1407" t="str">
        <f>"02007"</f>
        <v>02007</v>
      </c>
      <c r="B1407" t="str">
        <f>"MASILLA ANCLAFLEX 28 KL - ANCLAFLEX"</f>
        <v>MASILLA ANCLAFLEX 28 KL - ANCLAFLEX</v>
      </c>
      <c r="C1407">
        <v>33598.82</v>
      </c>
      <c r="D1407">
        <v>40654.572199999995</v>
      </c>
    </row>
    <row r="1408" spans="1:4" x14ac:dyDescent="0.25">
      <c r="A1408" t="str">
        <f>"02008"</f>
        <v>02008</v>
      </c>
      <c r="B1408" t="str">
        <f>"MASILLA ANCLAFLEX 7 KL - ANCLAFLEX"</f>
        <v>MASILLA ANCLAFLEX 7 KL - ANCLAFLEX</v>
      </c>
      <c r="C1408">
        <v>12862.73</v>
      </c>
      <c r="D1408">
        <v>15563.903299999998</v>
      </c>
    </row>
    <row r="1409" spans="1:4" x14ac:dyDescent="0.25">
      <c r="A1409" t="str">
        <f>"02009"</f>
        <v>02009</v>
      </c>
      <c r="B1409" t="str">
        <f>"ABREBALDE ROSARPIN"</f>
        <v>ABREBALDE ROSARPIN</v>
      </c>
      <c r="C1409">
        <v>1414.96</v>
      </c>
      <c r="D1409">
        <v>1712.1016</v>
      </c>
    </row>
    <row r="1410" spans="1:4" x14ac:dyDescent="0.25">
      <c r="A1410" t="str">
        <f>"02010"</f>
        <v>02010</v>
      </c>
      <c r="B1410" t="str">
        <f>"BANDEJA DE COLGAR - ROSARPIN"</f>
        <v>BANDEJA DE COLGAR - ROSARPIN</v>
      </c>
      <c r="C1410">
        <v>3718.54</v>
      </c>
      <c r="D1410">
        <v>4499.4333999999999</v>
      </c>
    </row>
    <row r="1411" spans="1:4" x14ac:dyDescent="0.25">
      <c r="A1411" t="str">
        <f>"02011"</f>
        <v>02011</v>
      </c>
      <c r="B1411" t="str">
        <f>"BANDEJA MINI - ROSARPIN"</f>
        <v>BANDEJA MINI - ROSARPIN</v>
      </c>
      <c r="C1411">
        <v>1149.3699999999999</v>
      </c>
      <c r="D1411">
        <v>1390.7376999999999</v>
      </c>
    </row>
    <row r="1412" spans="1:4" x14ac:dyDescent="0.25">
      <c r="A1412" t="str">
        <f>"02012"</f>
        <v>02012</v>
      </c>
      <c r="B1412" t="str">
        <f>"BANDEJA PLANA - ROSARPIN"</f>
        <v>BANDEJA PLANA - ROSARPIN</v>
      </c>
      <c r="C1412">
        <v>3593.66</v>
      </c>
      <c r="D1412">
        <v>4348.3285999999998</v>
      </c>
    </row>
    <row r="1413" spans="1:4" x14ac:dyDescent="0.25">
      <c r="A1413" t="str">
        <f>"02013"</f>
        <v>02013</v>
      </c>
      <c r="B1413" t="str">
        <f>"COBERTOR 3X3M - ROSARPIN"</f>
        <v>COBERTOR 3X3M - ROSARPIN</v>
      </c>
      <c r="C1413">
        <v>8621.2999999999993</v>
      </c>
      <c r="D1413">
        <v>10431.772999999999</v>
      </c>
    </row>
    <row r="1414" spans="1:4" x14ac:dyDescent="0.25">
      <c r="A1414" t="str">
        <f>"02014"</f>
        <v>02014</v>
      </c>
      <c r="B1414" t="str">
        <f>"COBERTOR 3X5M - ROSARPIN"</f>
        <v>COBERTOR 3X5M - ROSARPIN</v>
      </c>
      <c r="C1414">
        <v>10689.89</v>
      </c>
      <c r="D1414">
        <v>12934.766899999999</v>
      </c>
    </row>
    <row r="1415" spans="1:4" x14ac:dyDescent="0.25">
      <c r="A1415" t="str">
        <f>"02015"</f>
        <v>02015</v>
      </c>
      <c r="B1415" t="str">
        <f>"ESPATULA ACERO 04 CM - ROSARPIN"</f>
        <v>ESPATULA ACERO 04 CM - ROSARPIN</v>
      </c>
      <c r="C1415">
        <v>2250.42</v>
      </c>
      <c r="D1415">
        <v>2723.0082000000002</v>
      </c>
    </row>
    <row r="1416" spans="1:4" x14ac:dyDescent="0.25">
      <c r="A1416" t="str">
        <f>"02016"</f>
        <v>02016</v>
      </c>
      <c r="B1416" t="str">
        <f>"ESPATULA ACERO 05 CM - ROSARPIN"</f>
        <v>ESPATULA ACERO 05 CM - ROSARPIN</v>
      </c>
      <c r="C1416">
        <v>2409.61</v>
      </c>
      <c r="D1416">
        <v>2915.6280999999999</v>
      </c>
    </row>
    <row r="1417" spans="1:4" x14ac:dyDescent="0.25">
      <c r="A1417" t="str">
        <f>"02017"</f>
        <v>02017</v>
      </c>
      <c r="B1417" t="str">
        <f>"ESPATULA ACERO 06 CM - ROSARPIN"</f>
        <v>ESPATULA ACERO 06 CM - ROSARPIN</v>
      </c>
      <c r="C1417">
        <v>2594.58</v>
      </c>
      <c r="D1417">
        <v>3139.4417999999996</v>
      </c>
    </row>
    <row r="1418" spans="1:4" x14ac:dyDescent="0.25">
      <c r="A1418" t="str">
        <f>"02022"</f>
        <v>02022</v>
      </c>
      <c r="B1418" t="str">
        <f>"EXTENSOR ACERO REFORZADO 1.5 A 3 MTS - ROSARPIN"</f>
        <v>EXTENSOR ACERO REFORZADO 1.5 A 3 MTS - ROSARPIN</v>
      </c>
      <c r="C1418">
        <v>26776.03</v>
      </c>
      <c r="D1418">
        <v>32398.996299999999</v>
      </c>
    </row>
    <row r="1419" spans="1:4" x14ac:dyDescent="0.25">
      <c r="A1419" t="str">
        <f>"02024"</f>
        <v>02024</v>
      </c>
      <c r="B1419" t="str">
        <f>"MANTA SINTETICA 1*25M - ROSARPIN"</f>
        <v>MANTA SINTETICA 1*25M - ROSARPIN</v>
      </c>
      <c r="C1419">
        <v>17434.509999999998</v>
      </c>
      <c r="D1419">
        <v>21095.757099999999</v>
      </c>
    </row>
    <row r="1420" spans="1:4" x14ac:dyDescent="0.25">
      <c r="A1420" t="str">
        <f>"02040"</f>
        <v>02040</v>
      </c>
      <c r="B1420" t="str">
        <f>"PINCEL EL VENCEDOR  N30 - ROSARPIN"</f>
        <v>PINCEL EL VENCEDOR  N30 - ROSARPIN</v>
      </c>
      <c r="C1420">
        <v>3765.91</v>
      </c>
      <c r="D1420">
        <v>4556.7510999999995</v>
      </c>
    </row>
    <row r="1421" spans="1:4" x14ac:dyDescent="0.25">
      <c r="A1421" t="str">
        <f>"02042"</f>
        <v>02042</v>
      </c>
      <c r="B1421" t="str">
        <f>"PINCEL SERIE 170 N10 - ROSARPIN"</f>
        <v>PINCEL SERIE 170 N10 - ROSARPIN</v>
      </c>
      <c r="C1421">
        <v>3289.75</v>
      </c>
      <c r="D1421">
        <v>3980.5974999999999</v>
      </c>
    </row>
    <row r="1422" spans="1:4" x14ac:dyDescent="0.25">
      <c r="A1422" t="str">
        <f>"02043"</f>
        <v>02043</v>
      </c>
      <c r="B1422" t="str">
        <f>"PINCEL SERIE 170 N15 - ROSARPIN"</f>
        <v>PINCEL SERIE 170 N15 - ROSARPIN</v>
      </c>
      <c r="C1422">
        <v>3698.07</v>
      </c>
      <c r="D1422">
        <v>4474.6647000000003</v>
      </c>
    </row>
    <row r="1423" spans="1:4" x14ac:dyDescent="0.25">
      <c r="A1423" t="str">
        <f>"02044"</f>
        <v>02044</v>
      </c>
      <c r="B1423" t="str">
        <f>"PINCEL SERIE 170 N20 - ROSARPIN"</f>
        <v>PINCEL SERIE 170 N20 - ROSARPIN</v>
      </c>
      <c r="C1423">
        <v>4617.66</v>
      </c>
      <c r="D1423">
        <v>5587.3685999999998</v>
      </c>
    </row>
    <row r="1424" spans="1:4" x14ac:dyDescent="0.25">
      <c r="A1424" t="str">
        <f>"02045"</f>
        <v>02045</v>
      </c>
      <c r="B1424" t="str">
        <f>"PINCEL SERIE 170 N25 - ROSARPIN"</f>
        <v>PINCEL SERIE 170 N25 - ROSARPIN</v>
      </c>
      <c r="C1424">
        <v>5608.93</v>
      </c>
      <c r="D1424">
        <v>6786.8053</v>
      </c>
    </row>
    <row r="1425" spans="1:4" x14ac:dyDescent="0.25">
      <c r="A1425" t="str">
        <f>"02046"</f>
        <v>02046</v>
      </c>
      <c r="B1425" t="str">
        <f>"PINCEL SERIE 170 N30 - ROSARPIN"</f>
        <v>PINCEL SERIE 170 N30 - ROSARPIN</v>
      </c>
      <c r="C1425">
        <v>6891.78</v>
      </c>
      <c r="D1425">
        <v>8339.0537999999997</v>
      </c>
    </row>
    <row r="1426" spans="1:4" x14ac:dyDescent="0.25">
      <c r="A1426" t="str">
        <f>"02047"</f>
        <v>02047</v>
      </c>
      <c r="B1426" t="str">
        <f>"RODILLO ANTIGOTA 22CM - ROSARPIN"</f>
        <v>RODILLO ANTIGOTA 22CM - ROSARPIN</v>
      </c>
      <c r="C1426">
        <v>6791.08</v>
      </c>
      <c r="D1426">
        <v>8217.2067999999999</v>
      </c>
    </row>
    <row r="1427" spans="1:4" x14ac:dyDescent="0.25">
      <c r="A1427" t="str">
        <f>"02048"</f>
        <v>02048</v>
      </c>
      <c r="B1427" t="str">
        <f>"RODILLO EPOXI ALTO SOLIDO 22CM - ROSARPIN"</f>
        <v>RODILLO EPOXI ALTO SOLIDO 22CM - ROSARPIN</v>
      </c>
      <c r="C1427">
        <v>8211.8799999999992</v>
      </c>
      <c r="D1427">
        <v>9936.3747999999996</v>
      </c>
    </row>
    <row r="1428" spans="1:4" x14ac:dyDescent="0.25">
      <c r="A1428" t="str">
        <f>"02049"</f>
        <v>02049</v>
      </c>
      <c r="B1428" t="str">
        <f>"RODILLO SINTETICO PROFESIONAL 22CM -  ROSARPIN"</f>
        <v>RODILLO SINTETICO PROFESIONAL 22CM -  ROSARPIN</v>
      </c>
      <c r="C1428">
        <v>8494.74</v>
      </c>
      <c r="D1428">
        <v>10278.635399999999</v>
      </c>
    </row>
    <row r="1429" spans="1:4" x14ac:dyDescent="0.25">
      <c r="A1429" t="str">
        <f>"02050"</f>
        <v>02050</v>
      </c>
      <c r="B1429" t="str">
        <f>"VENDA SINTETICA  10*25CM - ROSARPIN"</f>
        <v>VENDA SINTETICA  10*25CM - ROSARPIN</v>
      </c>
      <c r="C1429">
        <v>2038.2</v>
      </c>
      <c r="D1429">
        <v>2466.2220000000002</v>
      </c>
    </row>
    <row r="1430" spans="1:4" x14ac:dyDescent="0.25">
      <c r="A1430" t="str">
        <f>"02051"</f>
        <v>02051</v>
      </c>
      <c r="B1430" t="str">
        <f>"VENDA SINTETICA 20*25CM - ROSARPIN"</f>
        <v>VENDA SINTETICA 20*25CM - ROSARPIN</v>
      </c>
      <c r="C1430">
        <v>3833.22</v>
      </c>
      <c r="D1430">
        <v>4638.1961999999994</v>
      </c>
    </row>
    <row r="1431" spans="1:4" x14ac:dyDescent="0.25">
      <c r="A1431" t="str">
        <f>"02052"</f>
        <v>02052</v>
      </c>
      <c r="B1431" t="str">
        <f>"AEROSOL BLANCO SATINADO X 240 - DISTINCION"</f>
        <v>AEROSOL BLANCO SATINADO X 240 - DISTINCION</v>
      </c>
      <c r="C1431">
        <v>3781.95</v>
      </c>
      <c r="D1431">
        <v>4576.1594999999998</v>
      </c>
    </row>
    <row r="1432" spans="1:4" x14ac:dyDescent="0.25">
      <c r="A1432" t="str">
        <f>"02053"</f>
        <v>02053</v>
      </c>
      <c r="B1432" t="str">
        <f>"AEROSOL GRIS OSCURO X 240 - DISTINCION"</f>
        <v>AEROSOL GRIS OSCURO X 240 - DISTINCION</v>
      </c>
      <c r="C1432">
        <v>3781.95</v>
      </c>
      <c r="D1432">
        <v>4576.1594999999998</v>
      </c>
    </row>
    <row r="1433" spans="1:4" x14ac:dyDescent="0.25">
      <c r="A1433" t="str">
        <f>"02054"</f>
        <v>02054</v>
      </c>
      <c r="B1433" t="str">
        <f>"AEROSOL LINEA JOVEN-SALMON ROSADO POR 240 CC - DISTINCION"</f>
        <v>AEROSOL LINEA JOVEN-SALMON ROSADO POR 240 CC - DISTINCION</v>
      </c>
      <c r="C1433">
        <v>4351.51</v>
      </c>
      <c r="D1433">
        <v>5265.3271000000004</v>
      </c>
    </row>
    <row r="1434" spans="1:4" x14ac:dyDescent="0.25">
      <c r="A1434" t="str">
        <f>"02055"</f>
        <v>02055</v>
      </c>
      <c r="B1434" t="str">
        <f>"AEROSOL LINEA JOVEN-TURQUESA CARIBE POR 240 CC -  DISTINCION"</f>
        <v>AEROSOL LINEA JOVEN-TURQUESA CARIBE POR 240 CC -  DISTINCION</v>
      </c>
      <c r="C1434">
        <v>4351.51</v>
      </c>
      <c r="D1434">
        <v>5265.3271000000004</v>
      </c>
    </row>
    <row r="1435" spans="1:4" x14ac:dyDescent="0.25">
      <c r="A1435" t="str">
        <f>"02056"</f>
        <v>02056</v>
      </c>
      <c r="B1435" t="str">
        <f>"AEROSOL MARRON X 240 C.C. - DISTINCION"</f>
        <v>AEROSOL MARRON X 240 C.C. - DISTINCION</v>
      </c>
      <c r="C1435">
        <v>3781.95</v>
      </c>
      <c r="D1435">
        <v>4576.1594999999998</v>
      </c>
    </row>
    <row r="1436" spans="1:4" x14ac:dyDescent="0.25">
      <c r="A1436" t="str">
        <f>"02059"</f>
        <v>02059</v>
      </c>
      <c r="B1436" t="str">
        <f>"ENDUIDO INTERIOR X 4 L - DISTINCION"</f>
        <v>ENDUIDO INTERIOR X 4 L - DISTINCION</v>
      </c>
      <c r="C1436">
        <v>2625.43</v>
      </c>
      <c r="D1436">
        <v>3176.7702999999997</v>
      </c>
    </row>
    <row r="1437" spans="1:4" x14ac:dyDescent="0.25">
      <c r="A1437" t="str">
        <f>"02061"</f>
        <v>02061</v>
      </c>
      <c r="B1437" t="str">
        <f>"ESMALTE ALTA TEMPERATURA ALUMINIO  X 1 L - DISTINCION"</f>
        <v>ESMALTE ALTA TEMPERATURA ALUMINIO  X 1 L - DISTINCION</v>
      </c>
      <c r="C1437">
        <v>14511.06</v>
      </c>
      <c r="D1437">
        <v>17558.382599999997</v>
      </c>
    </row>
    <row r="1438" spans="1:4" x14ac:dyDescent="0.25">
      <c r="A1438" t="str">
        <f>"02066"</f>
        <v>02066</v>
      </c>
      <c r="B1438" t="str">
        <f>"ESMALTE ALTA TEMPERATURA NEGRO X 1/2 - DISTINCION"</f>
        <v>ESMALTE ALTA TEMPERATURA NEGRO X 1/2 - DISTINCION</v>
      </c>
      <c r="C1438">
        <v>8253.2900000000009</v>
      </c>
      <c r="D1438">
        <v>9986.4809000000005</v>
      </c>
    </row>
    <row r="1439" spans="1:4" x14ac:dyDescent="0.25">
      <c r="A1439" t="str">
        <f>"02069"</f>
        <v>02069</v>
      </c>
      <c r="B1439" t="str">
        <f>"ESMALTE FERROMICACEO ACERO X 2.5 L - DISTINCION"</f>
        <v>ESMALTE FERROMICACEO ACERO X 2.5 L - DISTINCION</v>
      </c>
      <c r="C1439">
        <v>81638.509999999995</v>
      </c>
      <c r="D1439">
        <v>98782.597099999984</v>
      </c>
    </row>
    <row r="1440" spans="1:4" x14ac:dyDescent="0.25">
      <c r="A1440" t="str">
        <f>"02071"</f>
        <v>02071</v>
      </c>
      <c r="B1440" t="str">
        <f>"ESMALTE FERROMICACEO NEGRO X 2.5 L - DISTINCION"</f>
        <v>ESMALTE FERROMICACEO NEGRO X 2.5 L - DISTINCION</v>
      </c>
      <c r="C1440">
        <v>81638.509999999995</v>
      </c>
      <c r="D1440">
        <v>98782.597099999984</v>
      </c>
    </row>
    <row r="1441" spans="1:4" x14ac:dyDescent="0.25">
      <c r="A1441" t="str">
        <f>"02075"</f>
        <v>02075</v>
      </c>
      <c r="B1441" t="str">
        <f>"FIJADOR AL AGUARRAS X 1 LTS. - DISTINCION"</f>
        <v>FIJADOR AL AGUARRAS X 1 LTS. - DISTINCION</v>
      </c>
      <c r="C1441">
        <v>7391.99</v>
      </c>
      <c r="D1441">
        <v>8944.3078999999998</v>
      </c>
    </row>
    <row r="1442" spans="1:4" x14ac:dyDescent="0.25">
      <c r="A1442" t="str">
        <f>"02083"</f>
        <v>02083</v>
      </c>
      <c r="B1442" t="str">
        <f>"IMPERMEABILIZANTE M Y M AZUL DISTINCIÓN G4 X 1 - DISTINCION"</f>
        <v>IMPERMEABILIZANTE M Y M AZUL DISTINCIÓN G4 X 1 - DISTINCION</v>
      </c>
      <c r="C1442">
        <v>8105.02</v>
      </c>
      <c r="D1442">
        <v>9807.0742000000009</v>
      </c>
    </row>
    <row r="1443" spans="1:4" x14ac:dyDescent="0.25">
      <c r="A1443" t="str">
        <f>"02084"</f>
        <v>02084</v>
      </c>
      <c r="B1443" t="str">
        <f>"IMPERMEABILIZANTE M Y M AZUL DISTINCIÓN G4 X 4 - DISTINCION"</f>
        <v>IMPERMEABILIZANTE M Y M AZUL DISTINCIÓN G4 X 4 - DISTINCION</v>
      </c>
      <c r="C1443">
        <v>27080.18</v>
      </c>
      <c r="D1443">
        <v>32767.017799999998</v>
      </c>
    </row>
    <row r="1444" spans="1:4" x14ac:dyDescent="0.25">
      <c r="A1444" t="str">
        <f>"02095"</f>
        <v>02095</v>
      </c>
      <c r="B1444" t="str">
        <f>"IMPERMEABILIZANTE M Y M GRIS LONDRES G3 X 1LT. - DISTINCION"</f>
        <v>IMPERMEABILIZANTE M Y M GRIS LONDRES G3 X 1LT. - DISTINCION</v>
      </c>
      <c r="C1444">
        <v>8105.02</v>
      </c>
      <c r="D1444">
        <v>9807.0742000000009</v>
      </c>
    </row>
    <row r="1445" spans="1:4" x14ac:dyDescent="0.25">
      <c r="A1445" t="str">
        <f>"02096"</f>
        <v>02096</v>
      </c>
      <c r="B1445" t="str">
        <f>"IMPERMEABILIZANTE M Y M GRIS LONDRES G3 X 20LT. - DISTINCION"</f>
        <v>IMPERMEABILIZANTE M Y M GRIS LONDRES G3 X 20LT. - DISTINCION</v>
      </c>
      <c r="C1445">
        <v>126046.03</v>
      </c>
      <c r="D1445">
        <v>152515.69629999998</v>
      </c>
    </row>
    <row r="1446" spans="1:4" x14ac:dyDescent="0.25">
      <c r="A1446" t="str">
        <f>"02097"</f>
        <v>02097</v>
      </c>
      <c r="B1446" t="str">
        <f>"IMPERMEABILIZANTE M Y M GRIS LONDRES G3 X 4LT. - DISTINCION"</f>
        <v>IMPERMEABILIZANTE M Y M GRIS LONDRES G3 X 4LT. - DISTINCION</v>
      </c>
      <c r="C1446">
        <v>27080.18</v>
      </c>
      <c r="D1446">
        <v>32767.017799999998</v>
      </c>
    </row>
    <row r="1447" spans="1:4" x14ac:dyDescent="0.25">
      <c r="A1447" t="str">
        <f>"02098"</f>
        <v>02098</v>
      </c>
      <c r="B1447" t="str">
        <f>"IMPERMEABILIZANTE M Y M GUINDA G1 X 1 LT - DISTINCION"</f>
        <v>IMPERMEABILIZANTE M Y M GUINDA G1 X 1 LT - DISTINCION</v>
      </c>
      <c r="C1447">
        <v>8105.02</v>
      </c>
      <c r="D1447">
        <v>9807.0742000000009</v>
      </c>
    </row>
    <row r="1448" spans="1:4" x14ac:dyDescent="0.25">
      <c r="A1448" t="str">
        <f>"02099"</f>
        <v>02099</v>
      </c>
      <c r="B1448" t="str">
        <f>"IMPERMEABILIZANTE M Y M GUINDA G1 X 4 LTS - DISTINCION"</f>
        <v>IMPERMEABILIZANTE M Y M GUINDA G1 X 4 LTS - DISTINCION</v>
      </c>
      <c r="C1448">
        <v>27080.18</v>
      </c>
      <c r="D1448">
        <v>32767.017799999998</v>
      </c>
    </row>
    <row r="1449" spans="1:4" x14ac:dyDescent="0.25">
      <c r="A1449" t="str">
        <f>"02104"</f>
        <v>02104</v>
      </c>
      <c r="B1449" t="str">
        <f>"IMPERMEABILIZANTE M Y M MARRÓN AFRICANO G3 X 1 LT -  DISTINCION"</f>
        <v>IMPERMEABILIZANTE M Y M MARRÓN AFRICANO G3 X 1 LT -  DISTINCION</v>
      </c>
      <c r="C1449">
        <v>8105.02</v>
      </c>
      <c r="D1449">
        <v>9807.0742000000009</v>
      </c>
    </row>
    <row r="1450" spans="1:4" x14ac:dyDescent="0.25">
      <c r="A1450" t="str">
        <f>"02105"</f>
        <v>02105</v>
      </c>
      <c r="B1450" t="str">
        <f>"IMPERMEABILIZANTE M Y M MARRÓN AFRICANO G3 X 4 LTS - DISTINCION"</f>
        <v>IMPERMEABILIZANTE M Y M MARRÓN AFRICANO G3 X 4 LTS - DISTINCION</v>
      </c>
      <c r="C1450">
        <v>27080.18</v>
      </c>
      <c r="D1450">
        <v>32767.017799999998</v>
      </c>
    </row>
    <row r="1451" spans="1:4" x14ac:dyDescent="0.25">
      <c r="A1451" t="str">
        <f>"02108"</f>
        <v>02108</v>
      </c>
      <c r="B1451" t="str">
        <f>"IMPERMEABILIZANTE M Y M NEGRO G3 X 1 LT - DISTINCION"</f>
        <v>IMPERMEABILIZANTE M Y M NEGRO G3 X 1 LT - DISTINCION</v>
      </c>
      <c r="C1451">
        <v>8105.02</v>
      </c>
      <c r="D1451">
        <v>9807.0742000000009</v>
      </c>
    </row>
    <row r="1452" spans="1:4" x14ac:dyDescent="0.25">
      <c r="A1452" t="str">
        <f>"02109"</f>
        <v>02109</v>
      </c>
      <c r="B1452" t="str">
        <f>"IMPERMEABILIZANTE M Y M NEGRO G3 X 20 LTS - DISTINCION"</f>
        <v>IMPERMEABILIZANTE M Y M NEGRO G3 X 20 LTS - DISTINCION</v>
      </c>
      <c r="C1452">
        <v>126046.03</v>
      </c>
      <c r="D1452">
        <v>152515.69629999998</v>
      </c>
    </row>
    <row r="1453" spans="1:4" x14ac:dyDescent="0.25">
      <c r="A1453" t="str">
        <f>"02110"</f>
        <v>02110</v>
      </c>
      <c r="B1453" t="str">
        <f>"IMPERMEABILIZANTE M Y M NEGRO G3 X 4 LTS - DISTINCION"</f>
        <v>IMPERMEABILIZANTE M Y M NEGRO G3 X 4 LTS - DISTINCION</v>
      </c>
      <c r="C1453">
        <v>27080.18</v>
      </c>
      <c r="D1453">
        <v>32767.017799999998</v>
      </c>
    </row>
    <row r="1454" spans="1:4" x14ac:dyDescent="0.25">
      <c r="A1454" t="str">
        <f>"02125"</f>
        <v>02125</v>
      </c>
      <c r="B1454" t="str">
        <f>"IMPERMEABILIZANTE M Y M VERDE JADE G1 X 1 LT - DISTINCION"</f>
        <v>IMPERMEABILIZANTE M Y M VERDE JADE G1 X 1 LT - DISTINCION</v>
      </c>
      <c r="C1454">
        <v>8105.02</v>
      </c>
      <c r="D1454">
        <v>9807.0742000000009</v>
      </c>
    </row>
    <row r="1455" spans="1:4" x14ac:dyDescent="0.25">
      <c r="A1455" t="str">
        <f>"02126"</f>
        <v>02126</v>
      </c>
      <c r="B1455" t="str">
        <f>"IMPERMEABILIZANTE M Y M VERDE JADE G1 X 4 LTS - DISTINCION"</f>
        <v>IMPERMEABILIZANTE M Y M VERDE JADE G1 X 4 LTS - DISTINCION</v>
      </c>
      <c r="C1455">
        <v>26184.45</v>
      </c>
      <c r="D1455">
        <v>31683.184499999999</v>
      </c>
    </row>
    <row r="1456" spans="1:4" x14ac:dyDescent="0.25">
      <c r="A1456" t="str">
        <f>"02131"</f>
        <v>02131</v>
      </c>
      <c r="B1456" t="str">
        <f>"IMPERMEABILIZANTE M Y M VIOLETA G1 X 1 LT - DISTINCION"</f>
        <v>IMPERMEABILIZANTE M Y M VIOLETA G1 X 1 LT - DISTINCION</v>
      </c>
      <c r="C1456">
        <v>8105.02</v>
      </c>
      <c r="D1456">
        <v>9807.0742000000009</v>
      </c>
    </row>
    <row r="1457" spans="1:4" x14ac:dyDescent="0.25">
      <c r="A1457" t="str">
        <f>"02132"</f>
        <v>02132</v>
      </c>
      <c r="B1457" t="str">
        <f>"IMPERMEABILIZANTE M Y M VIOLETA G1 X 4 LTS - DISTINCION"</f>
        <v>IMPERMEABILIZANTE M Y M VIOLETA G1 X 4 LTS - DISTINCION</v>
      </c>
      <c r="C1457">
        <v>26184.45</v>
      </c>
      <c r="D1457">
        <v>31683.184499999999</v>
      </c>
    </row>
    <row r="1458" spans="1:4" x14ac:dyDescent="0.25">
      <c r="A1458" t="str">
        <f>"02133"</f>
        <v>02133</v>
      </c>
      <c r="B1458" t="str">
        <f>"IMPREGNANTE BRILLANTE CRISTAL X 1 - DISTINCION"</f>
        <v>IMPREGNANTE BRILLANTE CRISTAL X 1 - DISTINCION</v>
      </c>
      <c r="C1458">
        <v>10999.94</v>
      </c>
      <c r="D1458">
        <v>13309.9274</v>
      </c>
    </row>
    <row r="1459" spans="1:4" x14ac:dyDescent="0.25">
      <c r="A1459" t="str">
        <f>"02134"</f>
        <v>02134</v>
      </c>
      <c r="B1459" t="str">
        <f>"IMPREGNANTE SATINADO CRISTAL X 1 - DISTINCION"</f>
        <v>IMPREGNANTE SATINADO CRISTAL X 1 - DISTINCION</v>
      </c>
      <c r="C1459">
        <v>11949.91</v>
      </c>
      <c r="D1459">
        <v>14459.391099999999</v>
      </c>
    </row>
    <row r="1460" spans="1:4" x14ac:dyDescent="0.25">
      <c r="A1460" t="str">
        <f>"02147"</f>
        <v>02147</v>
      </c>
      <c r="B1460" t="str">
        <f>"LATEX GOLD EXT/INT CIBOULETTE  X 1 LT - DISTINCION"</f>
        <v>LATEX GOLD EXT/INT CIBOULETTE  X 1 LT - DISTINCION</v>
      </c>
      <c r="C1460">
        <v>6641.75</v>
      </c>
      <c r="D1460">
        <v>8036.5174999999999</v>
      </c>
    </row>
    <row r="1461" spans="1:4" x14ac:dyDescent="0.25">
      <c r="A1461" t="str">
        <f>"02148"</f>
        <v>02148</v>
      </c>
      <c r="B1461" t="str">
        <f>"LATEX GOLD EXT/INT CIBOULETTE  X 4LTS - DISTINCION"</f>
        <v>LATEX GOLD EXT/INT CIBOULETTE  X 4LTS - DISTINCION</v>
      </c>
      <c r="C1461">
        <v>21312.639999999999</v>
      </c>
      <c r="D1461">
        <v>25788.294399999999</v>
      </c>
    </row>
    <row r="1462" spans="1:4" x14ac:dyDescent="0.25">
      <c r="A1462" t="str">
        <f>"02149"</f>
        <v>02149</v>
      </c>
      <c r="B1462" t="str">
        <f>"LATEX GOLD EXT/INT CIPRÉS X 1 LT - DISTINCION"</f>
        <v>LATEX GOLD EXT/INT CIPRÉS X 1 LT - DISTINCION</v>
      </c>
      <c r="C1462">
        <v>6641.75</v>
      </c>
      <c r="D1462">
        <v>8036.5174999999999</v>
      </c>
    </row>
    <row r="1463" spans="1:4" x14ac:dyDescent="0.25">
      <c r="A1463" t="str">
        <f>"02150"</f>
        <v>02150</v>
      </c>
      <c r="B1463" t="str">
        <f>"LATEX GOLD EXT/INT CIPRÉS X 4 LTS - DISTINCION"</f>
        <v>LATEX GOLD EXT/INT CIPRÉS X 4 LTS - DISTINCION</v>
      </c>
      <c r="C1463">
        <v>21312.639999999999</v>
      </c>
      <c r="D1463">
        <v>25788.294399999999</v>
      </c>
    </row>
    <row r="1464" spans="1:4" x14ac:dyDescent="0.25">
      <c r="A1464" t="str">
        <f>"02153"</f>
        <v>02153</v>
      </c>
      <c r="B1464" t="str">
        <f>"LATEX GOLD EXT/INT GUARANÁ  X 1 LT - DISTINCION"</f>
        <v>LATEX GOLD EXT/INT GUARANÁ  X 1 LT - DISTINCION</v>
      </c>
      <c r="C1464">
        <v>6641.75</v>
      </c>
      <c r="D1464">
        <v>8036.5174999999999</v>
      </c>
    </row>
    <row r="1465" spans="1:4" x14ac:dyDescent="0.25">
      <c r="A1465" t="str">
        <f>"02167"</f>
        <v>02167</v>
      </c>
      <c r="B1465" t="str">
        <f>"LATEX GOLD EXT/INT TABACO X 1 LTS - DISTINCION"</f>
        <v>LATEX GOLD EXT/INT TABACO X 1 LTS - DISTINCION</v>
      </c>
      <c r="C1465">
        <v>6641.75</v>
      </c>
      <c r="D1465">
        <v>8036.5174999999999</v>
      </c>
    </row>
    <row r="1466" spans="1:4" x14ac:dyDescent="0.25">
      <c r="A1466" t="str">
        <f>"02168"</f>
        <v>02168</v>
      </c>
      <c r="B1466" t="str">
        <f>"LATEX GOLD EXT/INT TABACO X 4 LTS - DISTINCION"</f>
        <v>LATEX GOLD EXT/INT TABACO X 4 LTS - DISTINCION</v>
      </c>
      <c r="C1466">
        <v>21312.93</v>
      </c>
      <c r="D1466">
        <v>25788.6453</v>
      </c>
    </row>
    <row r="1467" spans="1:4" x14ac:dyDescent="0.25">
      <c r="A1467" t="str">
        <f>"02170"</f>
        <v>02170</v>
      </c>
      <c r="B1467" t="str">
        <f>"LATEX GOLD EXT/INT TURQUESA  X 4 LT  -  51428104  -  DISTINCION"</f>
        <v>LATEX GOLD EXT/INT TURQUESA  X 4 LT  -  51428104  -  DISTINCION</v>
      </c>
      <c r="C1467">
        <v>21312.639999999999</v>
      </c>
      <c r="D1467">
        <v>25788.294399999999</v>
      </c>
    </row>
    <row r="1468" spans="1:4" x14ac:dyDescent="0.25">
      <c r="A1468" t="str">
        <f>"02176"</f>
        <v>02176</v>
      </c>
      <c r="B1468" t="str">
        <f>"LATEX PROFECIONAL EXT/INT X 1 LT - DISTINCION"</f>
        <v>LATEX PROFECIONAL EXT/INT X 1 LT - DISTINCION</v>
      </c>
      <c r="C1468">
        <v>4299.78</v>
      </c>
      <c r="D1468">
        <v>5202.7338</v>
      </c>
    </row>
    <row r="1469" spans="1:4" x14ac:dyDescent="0.25">
      <c r="A1469" t="str">
        <f>"02177"</f>
        <v>02177</v>
      </c>
      <c r="B1469" t="str">
        <f>"LATEX PROFECIONAL EXT/INT X 4 LT - DISTINCION"</f>
        <v>LATEX PROFECIONAL EXT/INT X 4 LT - DISTINCION</v>
      </c>
      <c r="C1469">
        <v>13792.42</v>
      </c>
      <c r="D1469">
        <v>16688.8282</v>
      </c>
    </row>
    <row r="1470" spans="1:4" x14ac:dyDescent="0.25">
      <c r="A1470" t="str">
        <f>"02178"</f>
        <v>02178</v>
      </c>
      <c r="B1470" t="str">
        <f>"MEMBRANA ULTRACAPA TRANSPARENTE X 1 LT - DISTINCION"</f>
        <v>MEMBRANA ULTRACAPA TRANSPARENTE X 1 LT - DISTINCION</v>
      </c>
      <c r="C1470">
        <v>7731.62</v>
      </c>
      <c r="D1470">
        <v>9355.2601999999988</v>
      </c>
    </row>
    <row r="1471" spans="1:4" x14ac:dyDescent="0.25">
      <c r="A1471" t="str">
        <f>"02182"</f>
        <v>02182</v>
      </c>
      <c r="B1471" t="str">
        <f>"SINTETICO VIAL AMARILLA X 1 LT - DISTINCION"</f>
        <v>SINTETICO VIAL AMARILLA X 1 LT - DISTINCION</v>
      </c>
      <c r="C1471">
        <v>11797.81</v>
      </c>
      <c r="D1471">
        <v>14275.3501</v>
      </c>
    </row>
    <row r="1472" spans="1:4" x14ac:dyDescent="0.25">
      <c r="A1472" t="str">
        <f>"02185"</f>
        <v>02185</v>
      </c>
      <c r="B1472" t="str">
        <f>"SINTETICO VIAL BLANCA X 1 LT - DISTINCION"</f>
        <v>SINTETICO VIAL BLANCA X 1 LT - DISTINCION</v>
      </c>
      <c r="C1472">
        <v>13225.78</v>
      </c>
      <c r="D1472">
        <v>16003.193800000001</v>
      </c>
    </row>
    <row r="1473" spans="1:4" x14ac:dyDescent="0.25">
      <c r="A1473" t="str">
        <f>"02188"</f>
        <v>02188</v>
      </c>
      <c r="B1473" t="str">
        <f>"SINTETICO VIAL BLANCA X 4 LTS - DISTINCION"</f>
        <v>SINTETICO VIAL BLANCA X 4 LTS - DISTINCION</v>
      </c>
      <c r="C1473">
        <v>47863.09</v>
      </c>
      <c r="D1473">
        <v>57914.338899999995</v>
      </c>
    </row>
    <row r="1474" spans="1:4" x14ac:dyDescent="0.25">
      <c r="A1474" t="str">
        <f>"02194"</f>
        <v>02194</v>
      </c>
      <c r="B1474" t="str">
        <f>"AZUL RAL 5015 SINTETICO SECADO RAPIDO X 3.6L- FARBEN"</f>
        <v>AZUL RAL 5015 SINTETICO SECADO RAPIDO X 3.6L- FARBEN</v>
      </c>
      <c r="C1474">
        <v>54011.06</v>
      </c>
      <c r="D1474">
        <v>65353.382599999997</v>
      </c>
    </row>
    <row r="1475" spans="1:4" x14ac:dyDescent="0.25">
      <c r="A1475" t="str">
        <f>"02197"</f>
        <v>02197</v>
      </c>
      <c r="B1475" t="str">
        <f>"BARNIZ PU ACRI. HS ALTA PERFORMACE 2X1  -  543.890-0.9  -  FARBEN"</f>
        <v>BARNIZ PU ACRI. HS ALTA PERFORMACE 2X1  -  543.890-0.9  -  FARBEN</v>
      </c>
      <c r="C1475">
        <v>23954.92</v>
      </c>
      <c r="D1475">
        <v>28985.453199999996</v>
      </c>
    </row>
    <row r="1476" spans="1:4" x14ac:dyDescent="0.25">
      <c r="A1476" t="str">
        <f>"02198"</f>
        <v>02198</v>
      </c>
      <c r="B1476" t="str">
        <f>"BARNIZ PU ACRI. HS ALTA PERFORMACE 2X1  -  543.890-5.0  -  FARBEN"</f>
        <v>BARNIZ PU ACRI. HS ALTA PERFORMACE 2X1  -  543.890-5.0  -  FARBEN</v>
      </c>
      <c r="C1476">
        <v>125200.83</v>
      </c>
      <c r="D1476">
        <v>151493.0043</v>
      </c>
    </row>
    <row r="1477" spans="1:4" x14ac:dyDescent="0.25">
      <c r="A1477" t="str">
        <f>"02199"</f>
        <v>02199</v>
      </c>
      <c r="B1477" t="str">
        <f>"BARNIZ PU ACRIL. ALTOS SOLIDOS 2X1  -  543.850-0.9  -  FARBEN"</f>
        <v>BARNIZ PU ACRIL. ALTOS SOLIDOS 2X1  -  543.850-0.9  -  FARBEN</v>
      </c>
      <c r="C1477">
        <v>16741.97</v>
      </c>
      <c r="D1477">
        <v>20257.7837</v>
      </c>
    </row>
    <row r="1478" spans="1:4" x14ac:dyDescent="0.25">
      <c r="A1478" t="str">
        <f>"02200"</f>
        <v>02200</v>
      </c>
      <c r="B1478" t="str">
        <f>"BARNIZ PU ACRIL. ALTOS SOLIDOS 2X1  -  543.850-5.0  -  FARBEN"</f>
        <v>BARNIZ PU ACRIL. ALTOS SOLIDOS 2X1  -  543.850-5.0  -  FARBEN</v>
      </c>
      <c r="C1478">
        <v>84900.98</v>
      </c>
      <c r="D1478">
        <v>102730.18579999999</v>
      </c>
    </row>
    <row r="1479" spans="1:4" x14ac:dyDescent="0.25">
      <c r="A1479" t="str">
        <f>"02201"</f>
        <v>02201</v>
      </c>
      <c r="B1479" t="str">
        <f>"BARNIZ PU AUTO MATE 5X1  -  543.010-0.75  -  FARBEN"</f>
        <v>BARNIZ PU AUTO MATE 5X1  -  543.010-0.75  -  FARBEN</v>
      </c>
      <c r="C1479">
        <v>16344.93</v>
      </c>
      <c r="D1479">
        <v>19777.365300000001</v>
      </c>
    </row>
    <row r="1480" spans="1:4" x14ac:dyDescent="0.25">
      <c r="A1480" t="str">
        <f>"02202"</f>
        <v>02202</v>
      </c>
      <c r="B1480" t="str">
        <f>"BARNIZ PU BICOMPONENTE 5 X 1  -  543.800-0.75  -  FARBEN"</f>
        <v>BARNIZ PU BICOMPONENTE 5 X 1  -  543.800-0.75  -  FARBEN</v>
      </c>
      <c r="C1480">
        <v>12400.97</v>
      </c>
      <c r="D1480">
        <v>15005.173699999999</v>
      </c>
    </row>
    <row r="1481" spans="1:4" x14ac:dyDescent="0.25">
      <c r="A1481" t="str">
        <f>"02231"</f>
        <v>02231</v>
      </c>
      <c r="B1481" t="str">
        <f>"BASE PE BRANCO TRANSPARENTE  -  BPE271-0.9  -  FARBEN"</f>
        <v>BASE PE BRANCO TRANSPARENTE  -  BPE271-0.9  -  FARBEN</v>
      </c>
      <c r="C1481">
        <v>72436.539999999994</v>
      </c>
      <c r="D1481">
        <v>87648.213399999993</v>
      </c>
    </row>
    <row r="1482" spans="1:4" x14ac:dyDescent="0.25">
      <c r="A1482" t="str">
        <f>"02236"</f>
        <v>02236</v>
      </c>
      <c r="B1482" t="str">
        <f>"BASE PE NEGRO  -  BPE290-3.6  -  FARBEN"</f>
        <v>BASE PE NEGRO  -  BPE290-3.6  -  FARBEN</v>
      </c>
      <c r="C1482">
        <v>128311</v>
      </c>
      <c r="D1482">
        <v>155256.31</v>
      </c>
    </row>
    <row r="1483" spans="1:4" x14ac:dyDescent="0.25">
      <c r="A1483" t="str">
        <f>"02271"</f>
        <v>02271</v>
      </c>
      <c r="B1483" t="str">
        <f>"BASE PU ACR. AMARELO LIMPO  -  BPA273-0.9  -  FARBEN"</f>
        <v>BASE PU ACR. AMARELO LIMPO  -  BPA273-0.9  -  FARBEN</v>
      </c>
      <c r="C1483">
        <v>60590.37</v>
      </c>
      <c r="D1483">
        <v>73314.347699999998</v>
      </c>
    </row>
    <row r="1484" spans="1:4" x14ac:dyDescent="0.25">
      <c r="A1484" t="str">
        <f>"02272"</f>
        <v>02272</v>
      </c>
      <c r="B1484" t="str">
        <f>"BASE PU ACR. AZUL  -  BPA187-3.6  -  FARBEN"</f>
        <v>BASE PU ACR. AZUL  -  BPA187-3.6  -  FARBEN</v>
      </c>
      <c r="C1484">
        <v>104154.91</v>
      </c>
      <c r="D1484">
        <v>126027.4411</v>
      </c>
    </row>
    <row r="1485" spans="1:4" x14ac:dyDescent="0.25">
      <c r="A1485" t="str">
        <f>"02273"</f>
        <v>02273</v>
      </c>
      <c r="B1485" t="str">
        <f>"BASE PU ACR. AZUL AVERMELHADO  -  BPA277-0.9  -  FARBEN"</f>
        <v>BASE PU ACR. AZUL AVERMELHADO  -  BPA277-0.9  -  FARBEN</v>
      </c>
      <c r="C1485">
        <v>62056.39</v>
      </c>
      <c r="D1485">
        <v>75088.231899999999</v>
      </c>
    </row>
    <row r="1486" spans="1:4" x14ac:dyDescent="0.25">
      <c r="A1486" t="str">
        <f>"02274"</f>
        <v>02274</v>
      </c>
      <c r="B1486" t="str">
        <f>"BASE PU ACR. AZUL ESCURO  -  BPA198-0.9  -  FARBEN"</f>
        <v>BASE PU ACR. AZUL ESCURO  -  BPA198-0.9  -  FARBEN</v>
      </c>
      <c r="C1486">
        <v>44646.8</v>
      </c>
      <c r="D1486">
        <v>54022.628000000004</v>
      </c>
    </row>
    <row r="1487" spans="1:4" x14ac:dyDescent="0.25">
      <c r="A1487" t="str">
        <f>"02275"</f>
        <v>02275</v>
      </c>
      <c r="B1487" t="str">
        <f>"BASE PU ACR. AZUL ESVERDIADO  -  BPA197-0.9  -  FARBEN"</f>
        <v>BASE PU ACR. AZUL ESVERDIADO  -  BPA197-0.9  -  FARBEN</v>
      </c>
      <c r="C1487">
        <v>28470</v>
      </c>
      <c r="D1487">
        <v>34448.699999999997</v>
      </c>
    </row>
    <row r="1488" spans="1:4" x14ac:dyDescent="0.25">
      <c r="A1488" t="str">
        <f>"02276"</f>
        <v>02276</v>
      </c>
      <c r="B1488" t="str">
        <f>"BASE PU ACR. BRANCO CONCENTRADA  -  BPA161-3.6  -  FARBEN"</f>
        <v>BASE PU ACR. BRANCO CONCENTRADA  -  BPA161-3.6  -  FARBEN</v>
      </c>
      <c r="C1488">
        <v>132908.85999999999</v>
      </c>
      <c r="D1488">
        <v>160819.72059999997</v>
      </c>
    </row>
    <row r="1489" spans="1:4" x14ac:dyDescent="0.25">
      <c r="A1489" t="str">
        <f>"02277"</f>
        <v>02277</v>
      </c>
      <c r="B1489" t="str">
        <f>"BASE PU ACR. LARANJA  -  BPA185-3.6  -  FARBEN"</f>
        <v>BASE PU ACR. LARANJA  -  BPA185-3.6  -  FARBEN</v>
      </c>
      <c r="C1489">
        <v>157137.63</v>
      </c>
      <c r="D1489">
        <v>190136.53229999999</v>
      </c>
    </row>
    <row r="1490" spans="1:4" x14ac:dyDescent="0.25">
      <c r="A1490" t="str">
        <f>"02278"</f>
        <v>02278</v>
      </c>
      <c r="B1490" t="str">
        <f>"BASE PU ACR. NEGRO  -  BPA190-3.6  -  FARBEN"</f>
        <v>BASE PU ACR. NEGRO  -  BPA190-3.6  -  FARBEN</v>
      </c>
      <c r="C1490">
        <v>114114.56</v>
      </c>
      <c r="D1490">
        <v>138078.6176</v>
      </c>
    </row>
    <row r="1491" spans="1:4" x14ac:dyDescent="0.25">
      <c r="A1491" t="str">
        <f>"02279"</f>
        <v>02279</v>
      </c>
      <c r="B1491" t="str">
        <f>"BASE PU ACR. ROSADO  -  BPA175-0.9  -  FARBEN"</f>
        <v>BASE PU ACR. ROSADO  -  BPA175-0.9  -  FARBEN</v>
      </c>
      <c r="C1491">
        <v>44742.76</v>
      </c>
      <c r="D1491">
        <v>54138.739600000001</v>
      </c>
    </row>
    <row r="1492" spans="1:4" x14ac:dyDescent="0.25">
      <c r="A1492" t="str">
        <f>"02280"</f>
        <v>02280</v>
      </c>
      <c r="B1492" t="str">
        <f>"BASE PU ACR. VERDE   -  BPA188-3.6  -  FARBEN"</f>
        <v>BASE PU ACR. VERDE   -  BPA188-3.6  -  FARBEN</v>
      </c>
      <c r="C1492">
        <v>107708.07</v>
      </c>
      <c r="D1492">
        <v>130326.7647</v>
      </c>
    </row>
    <row r="1493" spans="1:4" x14ac:dyDescent="0.25">
      <c r="A1493" t="str">
        <f>"02281"</f>
        <v>02281</v>
      </c>
      <c r="B1493" t="str">
        <f>"BASE PU ACR. VERNELHO OXIDO  -  BPA186-0.9  -  FARBEN"</f>
        <v>BASE PU ACR. VERNELHO OXIDO  -  BPA186-0.9  -  FARBEN</v>
      </c>
      <c r="C1493">
        <v>26893.69</v>
      </c>
      <c r="D1493">
        <v>32541.364899999997</v>
      </c>
    </row>
    <row r="1494" spans="1:4" x14ac:dyDescent="0.25">
      <c r="A1494" t="str">
        <f>"02283"</f>
        <v>02283</v>
      </c>
      <c r="B1494" t="str">
        <f>"BASE PU ACR.AMARILLO LIMAO  -  BPA183-0.9  -  FARBEN"</f>
        <v>BASE PU ACR.AMARILLO LIMAO  -  BPA183-0.9  -  FARBEN</v>
      </c>
      <c r="C1494">
        <v>34055.51</v>
      </c>
      <c r="D1494">
        <v>41207.167099999999</v>
      </c>
    </row>
    <row r="1495" spans="1:4" x14ac:dyDescent="0.25">
      <c r="A1495" t="str">
        <f>"02284"</f>
        <v>02284</v>
      </c>
      <c r="B1495" t="str">
        <f>"BASE PU ACR.AMARILLO ORO  -  BPA182-3.6  -  FARBEN"</f>
        <v>BASE PU ACR.AMARILLO ORO  -  BPA182-3.6  -  FARBEN</v>
      </c>
      <c r="C1495">
        <v>132395.76</v>
      </c>
      <c r="D1495">
        <v>160198.86960000001</v>
      </c>
    </row>
    <row r="1496" spans="1:4" x14ac:dyDescent="0.25">
      <c r="A1496" t="str">
        <f>"02285"</f>
        <v>02285</v>
      </c>
      <c r="B1496" t="str">
        <f>"BASE PU ACR.AMARILLO OXIDO  -  BPA184-0.9  -  FARBEN"</f>
        <v>BASE PU ACR.AMARILLO OXIDO  -  BPA184-0.9  -  FARBEN</v>
      </c>
      <c r="C1496">
        <v>26578.84</v>
      </c>
      <c r="D1496">
        <v>32160.396399999998</v>
      </c>
    </row>
    <row r="1497" spans="1:4" x14ac:dyDescent="0.25">
      <c r="A1497" t="str">
        <f>"02286"</f>
        <v>02286</v>
      </c>
      <c r="B1497" t="str">
        <f>"BASE PU ACR.BLANCO  -  BPA181-3.6  -  FARBEN"</f>
        <v>BASE PU ACR.BLANCO  -  BPA181-3.6  -  FARBEN</v>
      </c>
      <c r="C1497">
        <v>114540.23</v>
      </c>
      <c r="D1497">
        <v>138593.6783</v>
      </c>
    </row>
    <row r="1498" spans="1:4" x14ac:dyDescent="0.25">
      <c r="A1498" t="str">
        <f>"02287"</f>
        <v>02287</v>
      </c>
      <c r="B1498" t="str">
        <f>"BASE PU ACR.PRETO AZULADO  -  BPA180-3.6  -  FARBEN"</f>
        <v>BASE PU ACR.PRETO AZULADO  -  BPA180-3.6  -  FARBEN</v>
      </c>
      <c r="C1498">
        <v>111607.67</v>
      </c>
      <c r="D1498">
        <v>135045.2807</v>
      </c>
    </row>
    <row r="1499" spans="1:4" x14ac:dyDescent="0.25">
      <c r="A1499" t="str">
        <f>"02288"</f>
        <v>02288</v>
      </c>
      <c r="B1499" t="str">
        <f>"BASE PU ACR.VERM. EXTRA LIMPO  -  BPA195-3.6  -  FARBEN"</f>
        <v>BASE PU ACR.VERM. EXTRA LIMPO  -  BPA195-3.6  -  FARBEN</v>
      </c>
      <c r="C1499">
        <v>149533.46</v>
      </c>
      <c r="D1499">
        <v>180935.48659999997</v>
      </c>
    </row>
    <row r="1500" spans="1:4" x14ac:dyDescent="0.25">
      <c r="A1500" t="str">
        <f>"02289"</f>
        <v>02289</v>
      </c>
      <c r="B1500" t="str">
        <f>"BASE PU ACR.VERMELO LIMPO  -  BPA191-3.6  -  FARBEN"</f>
        <v>BASE PU ACR.VERMELO LIMPO  -  BPA191-3.6  -  FARBEN</v>
      </c>
      <c r="C1500">
        <v>141646.31</v>
      </c>
      <c r="D1500">
        <v>171392.03509999998</v>
      </c>
    </row>
    <row r="1501" spans="1:4" x14ac:dyDescent="0.25">
      <c r="A1501" t="str">
        <f>"02290"</f>
        <v>02290</v>
      </c>
      <c r="B1501" t="str">
        <f>"BASE PU ACR.VERMELO VIOLETA  -  BPA179-3.6  -  FARBEN"</f>
        <v>BASE PU ACR.VERMELO VIOLETA  -  BPA179-3.6  -  FARBEN</v>
      </c>
      <c r="C1501">
        <v>133583.23000000001</v>
      </c>
      <c r="D1501">
        <v>161635.7083</v>
      </c>
    </row>
    <row r="1502" spans="1:4" x14ac:dyDescent="0.25">
      <c r="A1502" t="str">
        <f>"02291"</f>
        <v>02291</v>
      </c>
      <c r="B1502" t="str">
        <f>"BASE PU ACR.VIOLETA             -  BPA121-0.9  -  FARBEN"</f>
        <v>BASE PU ACR.VIOLETA             -  BPA121-0.9  -  FARBEN</v>
      </c>
      <c r="C1502">
        <v>33645.410000000003</v>
      </c>
      <c r="D1502">
        <v>40710.946100000001</v>
      </c>
    </row>
    <row r="1503" spans="1:4" x14ac:dyDescent="0.25">
      <c r="A1503" t="str">
        <f>"02292"</f>
        <v>02292</v>
      </c>
      <c r="B1503" t="str">
        <f>"BASE PU ACRÍLICO INCOLORO 2 X 1  -  APA85-3.6  -  FARBEN"</f>
        <v>BASE PU ACRÍLICO INCOLORO 2 X 1  -  APA85-3.6  -  FARBEN</v>
      </c>
      <c r="C1503">
        <v>82050.509999999995</v>
      </c>
      <c r="D1503">
        <v>99281.117099999989</v>
      </c>
    </row>
    <row r="1504" spans="1:4" x14ac:dyDescent="0.25">
      <c r="A1504" t="str">
        <f>"02293"</f>
        <v>02293</v>
      </c>
      <c r="B1504" t="str">
        <f>"BASE PU BLANCA FLOTA  -  APU60-3.6  -  FARBEN"</f>
        <v>BASE PU BLANCA FLOTA  -  APU60-3.6  -  FARBEN</v>
      </c>
      <c r="C1504">
        <v>71310.02</v>
      </c>
      <c r="D1504">
        <v>86285.124200000006</v>
      </c>
    </row>
    <row r="1505" spans="1:4" x14ac:dyDescent="0.25">
      <c r="A1505" t="str">
        <f>"02294"</f>
        <v>02294</v>
      </c>
      <c r="B1505" t="str">
        <f>"BASE SINT. BLANCO B32  -  531.1081-0.9  -  FARBEN"</f>
        <v>BASE SINT. BLANCO B32  -  531.1081-0.9  -  FARBEN</v>
      </c>
      <c r="C1505">
        <v>12705.37</v>
      </c>
      <c r="D1505">
        <v>15373.4977</v>
      </c>
    </row>
    <row r="1506" spans="1:4" x14ac:dyDescent="0.25">
      <c r="A1506" t="str">
        <f>"02295"</f>
        <v>02295</v>
      </c>
      <c r="B1506" t="str">
        <f>"BASE SINT. BLANCO B32  -  531.1081-3.6  -  FARBEN"</f>
        <v>BASE SINT. BLANCO B32  -  531.1081-3.6  -  FARBEN</v>
      </c>
      <c r="C1506">
        <v>48002.47</v>
      </c>
      <c r="D1506">
        <v>58082.988700000002</v>
      </c>
    </row>
    <row r="1507" spans="1:4" x14ac:dyDescent="0.25">
      <c r="A1507" t="str">
        <f>"02306"</f>
        <v>02306</v>
      </c>
      <c r="B1507" t="str">
        <f>"CATALIZADOR FOSFATIZANTE  -  577.100-0.3  -  FARBEN"</f>
        <v>CATALIZADOR FOSFATIZANTE  -  577.100-0.3  -  FARBEN</v>
      </c>
      <c r="C1507">
        <v>6965.66</v>
      </c>
      <c r="D1507">
        <v>8428.4485999999997</v>
      </c>
    </row>
    <row r="1508" spans="1:4" x14ac:dyDescent="0.25">
      <c r="A1508" t="str">
        <f>"02307"</f>
        <v>02307</v>
      </c>
      <c r="B1508" t="str">
        <f>"CATALIZADOR VINILICO P/WASH PRIMER  -  577.000-0.3  -  FARBEN"</f>
        <v>CATALIZADOR VINILICO P/WASH PRIMER  -  577.000-0.3  -  FARBEN</v>
      </c>
      <c r="C1508">
        <v>5781.5</v>
      </c>
      <c r="D1508">
        <v>6995.6149999999998</v>
      </c>
    </row>
    <row r="1509" spans="1:4" x14ac:dyDescent="0.25">
      <c r="A1509" t="str">
        <f>"02308"</f>
        <v>02308</v>
      </c>
      <c r="B1509" t="str">
        <f>"CERA LIMPIADORA EN PASTA 180 GR- FARBEN"</f>
        <v>CERA LIMPIADORA EN PASTA 180 GR- FARBEN</v>
      </c>
      <c r="C1509">
        <v>17376.13</v>
      </c>
      <c r="D1509">
        <v>21025.117300000002</v>
      </c>
    </row>
    <row r="1510" spans="1:4" x14ac:dyDescent="0.25">
      <c r="A1510" t="str">
        <f>"02309"</f>
        <v>02309</v>
      </c>
      <c r="B1510" t="str">
        <f>"CERA PASTE WAX - FARBEN"</f>
        <v>CERA PASTE WAX - FARBEN</v>
      </c>
      <c r="C1510">
        <v>46341.49</v>
      </c>
      <c r="D1510">
        <v>56073.202899999997</v>
      </c>
    </row>
    <row r="1511" spans="1:4" x14ac:dyDescent="0.25">
      <c r="A1511" t="str">
        <f>"02310"</f>
        <v>02310</v>
      </c>
      <c r="B1511" t="str">
        <f>"CERA PROTECTORA LIQUIDA  X 0.5 KL - FARBEN"</f>
        <v>CERA PROTECTORA LIQUIDA  X 0.5 KL - FARBEN</v>
      </c>
      <c r="C1511">
        <v>27453.05</v>
      </c>
      <c r="D1511">
        <v>33218.190499999997</v>
      </c>
    </row>
    <row r="1512" spans="1:4" x14ac:dyDescent="0.25">
      <c r="A1512" t="str">
        <f>"02317"</f>
        <v>02317</v>
      </c>
      <c r="B1512" t="str">
        <f>"COMPOSTO PULIDOR EXTRA FUERTE PO539.100-1.0 - FARBEN"</f>
        <v>COMPOSTO PULIDOR EXTRA FUERTE PO539.100-1.0 - FARBEN</v>
      </c>
      <c r="C1512">
        <v>18462.490000000002</v>
      </c>
      <c r="D1512">
        <v>22339.6129</v>
      </c>
    </row>
    <row r="1513" spans="1:4" x14ac:dyDescent="0.25">
      <c r="A1513" t="str">
        <f>"02403"</f>
        <v>02403</v>
      </c>
      <c r="B1513" t="str">
        <f>"DILUYENTE POLIESTER 8400 X 0.9L - FARBEN"</f>
        <v>DILUYENTE POLIESTER 8400 X 0.9L - FARBEN</v>
      </c>
      <c r="C1513">
        <v>10053.35</v>
      </c>
      <c r="D1513">
        <v>12164.5535</v>
      </c>
    </row>
    <row r="1514" spans="1:4" x14ac:dyDescent="0.25">
      <c r="A1514" t="str">
        <f>"02404"</f>
        <v>02404</v>
      </c>
      <c r="B1514" t="str">
        <f>"DILUYENTE POLIESTER 8400 X 18L - FARBEN"</f>
        <v>DILUYENTE POLIESTER 8400 X 18L - FARBEN</v>
      </c>
      <c r="C1514">
        <v>181644.23</v>
      </c>
      <c r="D1514">
        <v>219789.5183</v>
      </c>
    </row>
    <row r="1515" spans="1:4" x14ac:dyDescent="0.25">
      <c r="A1515" t="str">
        <f>"02405"</f>
        <v>02405</v>
      </c>
      <c r="B1515" t="str">
        <f>"DILUYENTE POLIESTER 8400 X 5L - FARBEN"</f>
        <v>DILUYENTE POLIESTER 8400 X 5L - FARBEN</v>
      </c>
      <c r="C1515">
        <v>48009.88</v>
      </c>
      <c r="D1515">
        <v>58091.954799999992</v>
      </c>
    </row>
    <row r="1516" spans="1:4" x14ac:dyDescent="0.25">
      <c r="A1516" t="str">
        <f>"02406"</f>
        <v>02406</v>
      </c>
      <c r="B1516" t="str">
        <f>"ENDURECEDOR P/ PRIMER PU - ALIF  -  573.790-0.225  -  FARBEN"</f>
        <v>ENDURECEDOR P/ PRIMER PU - ALIF  -  573.790-0.225  -  FARBEN</v>
      </c>
      <c r="C1516">
        <v>9727.5499999999993</v>
      </c>
      <c r="D1516">
        <v>11770.335499999999</v>
      </c>
    </row>
    <row r="1517" spans="1:4" x14ac:dyDescent="0.25">
      <c r="A1517" t="str">
        <f>"02407"</f>
        <v>02407</v>
      </c>
      <c r="B1517" t="str">
        <f>"ENDURECEDOR  PU/ALTA PERFORMANCE  -  573.009-0.45  -  FARBEN"</f>
        <v>ENDURECEDOR  PU/ALTA PERFORMANCE  -  573.009-0.45  -  FARBEN</v>
      </c>
      <c r="C1517">
        <v>22314.28</v>
      </c>
      <c r="D1517">
        <v>27000.278799999996</v>
      </c>
    </row>
    <row r="1518" spans="1:4" x14ac:dyDescent="0.25">
      <c r="A1518" t="str">
        <f>"02408"</f>
        <v>02408</v>
      </c>
      <c r="B1518" t="str">
        <f>"ENDURECEDOR  PU/ALTA PERFORMANCE  -  573.009-0.9  -  FARBEN"</f>
        <v>ENDURECEDOR  PU/ALTA PERFORMANCE  -  573.009-0.9  -  FARBEN</v>
      </c>
      <c r="C1518">
        <v>39095.480000000003</v>
      </c>
      <c r="D1518">
        <v>47305.5308</v>
      </c>
    </row>
    <row r="1519" spans="1:4" x14ac:dyDescent="0.25">
      <c r="A1519" t="str">
        <f>"02411"</f>
        <v>02411</v>
      </c>
      <c r="B1519" t="str">
        <f>"ENDURECEDOR P/ PRIMER PU - ALIF -  573.790-0.9  -  FARBEN"</f>
        <v>ENDURECEDOR P/ PRIMER PU - ALIF -  573.790-0.9  -  FARBEN</v>
      </c>
      <c r="C1519">
        <v>24021.09</v>
      </c>
      <c r="D1519">
        <v>29065.518899999999</v>
      </c>
    </row>
    <row r="1520" spans="1:4" x14ac:dyDescent="0.25">
      <c r="A1520" t="str">
        <f>"02412"</f>
        <v>02412</v>
      </c>
      <c r="B1520" t="str">
        <f>"ENDURECEDOR P/ PRIMER PU - ALIF  -  573.790-0.15  -  FARBEN"</f>
        <v>ENDURECEDOR P/ PRIMER PU - ALIF  -  573.790-0.15  -  FARBEN</v>
      </c>
      <c r="C1520">
        <v>6021.82</v>
      </c>
      <c r="D1520">
        <v>7286.4021999999995</v>
      </c>
    </row>
    <row r="1521" spans="1:4" x14ac:dyDescent="0.25">
      <c r="A1521" t="str">
        <f>"02414"</f>
        <v>02414</v>
      </c>
      <c r="B1521" t="str">
        <f>"ENDURECEDOR P/ PRIMER PU - ALIF  -  573.790-0.45     -  FARBEN"</f>
        <v>ENDURECEDOR P/ PRIMER PU - ALIF  -  573.790-0.45     -  FARBEN</v>
      </c>
      <c r="C1521">
        <v>14161.19</v>
      </c>
      <c r="D1521">
        <v>17135.0399</v>
      </c>
    </row>
    <row r="1522" spans="1:4" x14ac:dyDescent="0.25">
      <c r="A1522" t="str">
        <f>"02415"</f>
        <v>02415</v>
      </c>
      <c r="B1522" t="str">
        <f>"ENDURECEDOR P/ PU  -  573.008-0.15  -  FARBEN"</f>
        <v>ENDURECEDOR P/ PU  -  573.008-0.15  -  FARBEN</v>
      </c>
      <c r="C1522">
        <v>6324.82</v>
      </c>
      <c r="D1522">
        <v>7653.0321999999996</v>
      </c>
    </row>
    <row r="1523" spans="1:4" x14ac:dyDescent="0.25">
      <c r="A1523" t="str">
        <f>"02416"</f>
        <v>02416</v>
      </c>
      <c r="B1523" t="str">
        <f>"ENDURECEDOR PU ACELERADO  -  573.950-0.225  -  FARBEN"</f>
        <v>ENDURECEDOR PU ACELERADO  -  573.950-0.225  -  FARBEN</v>
      </c>
      <c r="C1523">
        <v>9992.24</v>
      </c>
      <c r="D1523">
        <v>12090.6104</v>
      </c>
    </row>
    <row r="1524" spans="1:4" x14ac:dyDescent="0.25">
      <c r="A1524" t="str">
        <f>"02417"</f>
        <v>02417</v>
      </c>
      <c r="B1524" t="str">
        <f>"ENDURECEDOR PU ACELERADO  -  573.950-0.45  -  FARBEN"</f>
        <v>ENDURECEDOR PU ACELERADO  -  573.950-0.45  -  FARBEN</v>
      </c>
      <c r="C1524">
        <v>14293.54</v>
      </c>
      <c r="D1524">
        <v>17295.183400000002</v>
      </c>
    </row>
    <row r="1525" spans="1:4" x14ac:dyDescent="0.25">
      <c r="A1525" t="str">
        <f>"02418"</f>
        <v>02418</v>
      </c>
      <c r="B1525" t="str">
        <f>"ENDURECEDOR PU ACELERADO  -  573.950-0.9  -  FARBEN"</f>
        <v>ENDURECEDOR PU ACELERADO  -  573.950-0.9  -  FARBEN</v>
      </c>
      <c r="C1525">
        <v>24259.31</v>
      </c>
      <c r="D1525">
        <v>29353.765100000001</v>
      </c>
    </row>
    <row r="1526" spans="1:4" x14ac:dyDescent="0.25">
      <c r="A1526" t="str">
        <f>"02419"</f>
        <v>02419</v>
      </c>
      <c r="B1526" t="str">
        <f>"ESM. SINT. AMARILLO TRANSITO  -  531.6190-0.9  -  FARBEN"</f>
        <v>ESM. SINT. AMARILLO TRANSITO  -  531.6190-0.9  -  FARBEN</v>
      </c>
      <c r="C1526">
        <v>12705.37</v>
      </c>
      <c r="D1526">
        <v>15373.4977</v>
      </c>
    </row>
    <row r="1527" spans="1:4" x14ac:dyDescent="0.25">
      <c r="A1527" t="str">
        <f>"02420"</f>
        <v>02420</v>
      </c>
      <c r="B1527" t="str">
        <f>"ESM. SINT. AMARILLO TRANSITO  -  531.6190-3.6  -  FARBEN"</f>
        <v>ESM. SINT. AMARILLO TRANSITO  -  531.6190-3.6  -  FARBEN</v>
      </c>
      <c r="C1527">
        <v>48002.47</v>
      </c>
      <c r="D1527">
        <v>58082.988700000002</v>
      </c>
    </row>
    <row r="1528" spans="1:4" x14ac:dyDescent="0.25">
      <c r="A1528" t="str">
        <f>"02421"</f>
        <v>02421</v>
      </c>
      <c r="B1528" t="str">
        <f>"ESM. SINT. GRIS GRAFITE FD 83  -  531.2115-0.9  -  FARBEN"</f>
        <v>ESM. SINT. GRIS GRAFITE FD 83  -  531.2115-0.9  -  FARBEN</v>
      </c>
      <c r="C1528">
        <v>12705.37</v>
      </c>
      <c r="D1528">
        <v>15373.4977</v>
      </c>
    </row>
    <row r="1529" spans="1:4" x14ac:dyDescent="0.25">
      <c r="A1529" t="str">
        <f>"02422"</f>
        <v>02422</v>
      </c>
      <c r="B1529" t="str">
        <f>"ESM. SINT. NARANJA SC 81  -  531.6610-0.9  -  FARBEN"</f>
        <v>ESM. SINT. NARANJA SC 81  -  531.6610-0.9  -  FARBEN</v>
      </c>
      <c r="C1529">
        <v>12943.6</v>
      </c>
      <c r="D1529">
        <v>15661.755999999999</v>
      </c>
    </row>
    <row r="1530" spans="1:4" x14ac:dyDescent="0.25">
      <c r="A1530" t="str">
        <f>"02423"</f>
        <v>02423</v>
      </c>
      <c r="B1530" t="str">
        <f>"ESM. SINT. VERDE JOHN DEERE  -  531.7000-0.9  -  FARBEN"</f>
        <v>ESM. SINT. VERDE JOHN DEERE  -  531.7000-0.9  -  FARBEN</v>
      </c>
      <c r="C1530">
        <v>12705.37</v>
      </c>
      <c r="D1530">
        <v>15373.4977</v>
      </c>
    </row>
    <row r="1531" spans="1:4" x14ac:dyDescent="0.25">
      <c r="A1531" t="str">
        <f>"02424"</f>
        <v>02424</v>
      </c>
      <c r="B1531" t="str">
        <f>"ESM. SINT. VERDE JOHN DEERE  -  531.7000-3.6  -  FARBEN"</f>
        <v>ESM. SINT. VERDE JOHN DEERE  -  531.7000-3.6  -  FARBEN</v>
      </c>
      <c r="C1531">
        <v>48002.47</v>
      </c>
      <c r="D1531">
        <v>58082.988700000002</v>
      </c>
    </row>
    <row r="1532" spans="1:4" x14ac:dyDescent="0.25">
      <c r="A1532" t="str">
        <f>"02425"</f>
        <v>02425</v>
      </c>
      <c r="B1532" t="str">
        <f>"ESM.SINT. AZUL MB 5497/97  -  531.5140-0.9  -  FARBEN"</f>
        <v>ESM.SINT. AZUL MB 5497/97  -  531.5140-0.9  -  FARBEN</v>
      </c>
      <c r="C1532">
        <v>12705.37</v>
      </c>
      <c r="D1532">
        <v>15373.4977</v>
      </c>
    </row>
    <row r="1533" spans="1:4" x14ac:dyDescent="0.25">
      <c r="A1533" t="str">
        <f>"02426"</f>
        <v>02426</v>
      </c>
      <c r="B1533" t="str">
        <f>"ESM.SINT.ALUMINIO OPALECENTE  -  531.8060-0.9  -  FARBEN"</f>
        <v>ESM.SINT.ALUMINIO OPALECENTE  -  531.8060-0.9  -  FARBEN</v>
      </c>
      <c r="C1533">
        <v>12705.37</v>
      </c>
      <c r="D1533">
        <v>15373.4977</v>
      </c>
    </row>
    <row r="1534" spans="1:4" x14ac:dyDescent="0.25">
      <c r="A1534" t="str">
        <f>"02427"</f>
        <v>02427</v>
      </c>
      <c r="B1534" t="str">
        <f>"ESM.SINT.ALUMINIO OPALECENTE  -  531.8060-3.6  -  FARBEN"</f>
        <v>ESM.SINT.ALUMINIO OPALECENTE  -  531.8060-3.6  -  FARBEN</v>
      </c>
      <c r="C1534">
        <v>48002.47</v>
      </c>
      <c r="D1534">
        <v>58082.988700000002</v>
      </c>
    </row>
    <row r="1535" spans="1:4" x14ac:dyDescent="0.25">
      <c r="A1535" t="str">
        <f>"02428"</f>
        <v>02428</v>
      </c>
      <c r="B1535" t="str">
        <f>"ESM.SINT.NEGRO BRILLANTE  -  531.8550-0.9  -  FARBEN"</f>
        <v>ESM.SINT.NEGRO BRILLANTE  -  531.8550-0.9  -  FARBEN</v>
      </c>
      <c r="C1535">
        <v>12705.37</v>
      </c>
      <c r="D1535">
        <v>15373.4977</v>
      </c>
    </row>
    <row r="1536" spans="1:4" x14ac:dyDescent="0.25">
      <c r="A1536" t="str">
        <f>"02429"</f>
        <v>02429</v>
      </c>
      <c r="B1536" t="str">
        <f>"ESM.SINT.NEGRO BRILLANTE  -  531.8550-3.6  -  FARBEN"</f>
        <v>ESM.SINT.NEGRO BRILLANTE  -  531.8550-3.6  -  FARBEN</v>
      </c>
      <c r="C1536">
        <v>48002.47</v>
      </c>
      <c r="D1536">
        <v>58082.988700000002</v>
      </c>
    </row>
    <row r="1537" spans="1:4" x14ac:dyDescent="0.25">
      <c r="A1537" t="str">
        <f>"02430"</f>
        <v>02430</v>
      </c>
      <c r="B1537" t="str">
        <f>"ESM.SINT.NEGRO MATE  -  531.8780-0.9  -  FARBEN"</f>
        <v>ESM.SINT.NEGRO MATE  -  531.8780-0.9  -  FARBEN</v>
      </c>
      <c r="C1537">
        <v>12705.37</v>
      </c>
      <c r="D1537">
        <v>15373.4977</v>
      </c>
    </row>
    <row r="1538" spans="1:4" x14ac:dyDescent="0.25">
      <c r="A1538" t="str">
        <f>"02431"</f>
        <v>02431</v>
      </c>
      <c r="B1538" t="str">
        <f>"ESM.SINT.ROJO MAXION  -  531.3280-0.9  -  FARBEN"</f>
        <v>ESM.SINT.ROJO MAXION  -  531.3280-0.9  -  FARBEN</v>
      </c>
      <c r="C1538">
        <v>12943.6</v>
      </c>
      <c r="D1538">
        <v>15661.755999999999</v>
      </c>
    </row>
    <row r="1539" spans="1:4" x14ac:dyDescent="0.25">
      <c r="A1539" t="str">
        <f>"02432"</f>
        <v>02432</v>
      </c>
      <c r="B1539" t="str">
        <f>"ESM.SINT.ROJO MAXION  -  531.3280-3.6  -  FARBEN"</f>
        <v>ESM.SINT.ROJO MAXION  -  531.3280-3.6  -  FARBEN</v>
      </c>
      <c r="C1539">
        <v>48875.97</v>
      </c>
      <c r="D1539">
        <v>59139.923699999999</v>
      </c>
    </row>
    <row r="1540" spans="1:4" x14ac:dyDescent="0.25">
      <c r="A1540" t="str">
        <f>"02433"</f>
        <v>02433</v>
      </c>
      <c r="B1540" t="str">
        <f>"ESMALTE PU ACR. BLANCO PURO( 790/850 2X1)  -  536.1085-3.6  -  FARBEN"</f>
        <v>ESMALTE PU ACR. BLANCO PURO( 790/850 2X1)  -  536.1085-3.6  -  FARBEN</v>
      </c>
      <c r="C1540">
        <v>127750.26</v>
      </c>
      <c r="D1540">
        <v>154577.81459999998</v>
      </c>
    </row>
    <row r="1541" spans="1:4" x14ac:dyDescent="0.25">
      <c r="A1541" t="str">
        <f>"02434"</f>
        <v>02434</v>
      </c>
      <c r="B1541" t="str">
        <f>"GALVIBEN ACRILICO DF BLANCO - 110.1080-3.6 - FARBEN"</f>
        <v>GALVIBEN ACRILICO DF BLANCO - 110.1080-3.6 - FARBEN</v>
      </c>
      <c r="C1541">
        <v>44071.75</v>
      </c>
      <c r="D1541">
        <v>53326.817499999997</v>
      </c>
    </row>
    <row r="1542" spans="1:4" x14ac:dyDescent="0.25">
      <c r="A1542" t="str">
        <f>"02435"</f>
        <v>02435</v>
      </c>
      <c r="B1542" t="str">
        <f>"GALVIBEN ACRILICO DF NEGRO - 110.8550-3.6 - FARBEN"</f>
        <v>GALVIBEN ACRILICO DF NEGRO - 110.8550-3.6 - FARBEN</v>
      </c>
      <c r="C1542">
        <v>44071.75</v>
      </c>
      <c r="D1542">
        <v>53326.817499999997</v>
      </c>
    </row>
    <row r="1543" spans="1:4" x14ac:dyDescent="0.25">
      <c r="A1543" t="str">
        <f>"02436"</f>
        <v>02436</v>
      </c>
      <c r="B1543" t="str">
        <f>"LACA NC ALUMINIO OPALEC.RODAS  -  532.8100-0.9  -  FARBEN"</f>
        <v>LACA NC ALUMINIO OPALEC.RODAS  -  532.8100-0.9  -  FARBEN</v>
      </c>
      <c r="C1543">
        <v>19110.990000000002</v>
      </c>
      <c r="D1543">
        <v>23124.297900000001</v>
      </c>
    </row>
    <row r="1544" spans="1:4" x14ac:dyDescent="0.25">
      <c r="A1544" t="str">
        <f>"02437"</f>
        <v>02437</v>
      </c>
      <c r="B1544" t="str">
        <f>"LACA NC NEGRO CADILAC  -  532.8540-0.9  -  FARBEN"</f>
        <v>LACA NC NEGRO CADILAC  -  532.8540-0.9  -  FARBEN</v>
      </c>
      <c r="C1544">
        <v>19690.89</v>
      </c>
      <c r="D1544">
        <v>23825.976899999998</v>
      </c>
    </row>
    <row r="1545" spans="1:4" x14ac:dyDescent="0.25">
      <c r="A1545" t="str">
        <f>"02438"</f>
        <v>02438</v>
      </c>
      <c r="B1545" t="str">
        <f>"LACA NC NEGRO S/BRIL  -  532.9060-0.9  -  FARBEN"</f>
        <v>LACA NC NEGRO S/BRIL  -  532.9060-0.9  -  FARBEN</v>
      </c>
      <c r="C1545">
        <v>18950.16</v>
      </c>
      <c r="D1545">
        <v>22929.693599999999</v>
      </c>
    </row>
    <row r="1546" spans="1:4" x14ac:dyDescent="0.25">
      <c r="A1546" t="str">
        <f>"02439"</f>
        <v>02439</v>
      </c>
      <c r="B1546" t="str">
        <f>"LIQUIDO PULIDOR CORTE RAPIDO  (PASO 1) - FARBEN"</f>
        <v>LIQUIDO PULIDOR CORTE RAPIDO  (PASO 1) - FARBEN</v>
      </c>
      <c r="C1546">
        <v>21079.74</v>
      </c>
      <c r="D1546">
        <v>25506.485400000001</v>
      </c>
    </row>
    <row r="1547" spans="1:4" x14ac:dyDescent="0.25">
      <c r="A1547" t="str">
        <f>"02440"</f>
        <v>02440</v>
      </c>
      <c r="B1547" t="str">
        <f>"LUSTRADOR DOBLE ACCION (PASO 3) - FARBEN"</f>
        <v>LUSTRADOR DOBLE ACCION (PASO 3) - FARBEN</v>
      </c>
      <c r="C1547">
        <v>21079.74</v>
      </c>
      <c r="D1547">
        <v>25506.485400000001</v>
      </c>
    </row>
    <row r="1548" spans="1:4" x14ac:dyDescent="0.25">
      <c r="A1548" t="str">
        <f>"02441"</f>
        <v>02441</v>
      </c>
      <c r="B1548" t="str">
        <f>"MASILLA PEQUEÑOS REPAROS X180GR - FARBEN"</f>
        <v>MASILLA PEQUEÑOS REPAROS X180GR - FARBEN</v>
      </c>
      <c r="C1548">
        <v>5995.35</v>
      </c>
      <c r="D1548">
        <v>7254.3735000000006</v>
      </c>
    </row>
    <row r="1549" spans="1:4" x14ac:dyDescent="0.25">
      <c r="A1549" t="str">
        <f>"02447"</f>
        <v>02447</v>
      </c>
      <c r="B1549" t="str">
        <f>"MASSA DE PULIR  EXTRA FUERTE PO539.110-1.0 - FARBEN"</f>
        <v>MASSA DE PULIR  EXTRA FUERTE PO539.110-1.0 - FARBEN</v>
      </c>
      <c r="C1549">
        <v>17638.47</v>
      </c>
      <c r="D1549">
        <v>21342.548699999999</v>
      </c>
    </row>
    <row r="1550" spans="1:4" x14ac:dyDescent="0.25">
      <c r="A1550" t="str">
        <f>"02449"</f>
        <v>02449</v>
      </c>
      <c r="B1550" t="str">
        <f>"BOINA D/FACE SUPER MACIA 8` AMARILLA - FARBEN"</f>
        <v>BOINA D/FACE SUPER MACIA 8` AMARILLA - FARBEN</v>
      </c>
      <c r="C1550">
        <v>53494.9</v>
      </c>
      <c r="D1550">
        <v>64728.828999999998</v>
      </c>
    </row>
    <row r="1551" spans="1:4" x14ac:dyDescent="0.25">
      <c r="A1551" t="str">
        <f>"02453"</f>
        <v>02453</v>
      </c>
      <c r="B1551" t="str">
        <f>"PASTA MATEANTE UNIVERSAL  -  UC525-0.9  -  FARBEN"</f>
        <v>PASTA MATEANTE UNIVERSAL  -  UC525-0.9  -  FARBEN</v>
      </c>
      <c r="C1551">
        <v>25494.33</v>
      </c>
      <c r="D1551">
        <v>30848.139300000003</v>
      </c>
    </row>
    <row r="1552" spans="1:4" x14ac:dyDescent="0.25">
      <c r="A1552" t="str">
        <f>"02455"</f>
        <v>02455</v>
      </c>
      <c r="B1552" t="str">
        <f>"PRIMER PU CZA ALTO SOLIDO 4X1  -  513.410-0.9  -  FARBEN"</f>
        <v>PRIMER PU CZA ALTO SOLIDO 4X1  -  513.410-0.9  -  FARBEN</v>
      </c>
      <c r="C1552">
        <v>12983.3</v>
      </c>
      <c r="D1552">
        <v>15709.792999999998</v>
      </c>
    </row>
    <row r="1553" spans="1:4" x14ac:dyDescent="0.25">
      <c r="A1553" t="str">
        <f>"02456"</f>
        <v>02456</v>
      </c>
      <c r="B1553" t="str">
        <f>"PRIMER PU CZA ALTO SOLIDO 4X1  -  513.410-3.6  -  FARBEN"</f>
        <v>PRIMER PU CZA ALTO SOLIDO 4X1  -  513.410-3.6  -  FARBEN</v>
      </c>
      <c r="C1553">
        <v>48465.69</v>
      </c>
      <c r="D1553">
        <v>58643.484900000003</v>
      </c>
    </row>
    <row r="1554" spans="1:4" x14ac:dyDescent="0.25">
      <c r="A1554" t="str">
        <f>"02457"</f>
        <v>02457</v>
      </c>
      <c r="B1554" t="str">
        <f>"PRIMER PU GRIS 5X1  -  513.210-0.75  -  FARBEN"</f>
        <v>PRIMER PU GRIS 5X1  -  513.210-0.75  -  FARBEN</v>
      </c>
      <c r="C1554">
        <v>8933.4599999999991</v>
      </c>
      <c r="D1554">
        <v>10809.486599999998</v>
      </c>
    </row>
    <row r="1555" spans="1:4" x14ac:dyDescent="0.25">
      <c r="A1555" t="str">
        <f>"02458"</f>
        <v>02458</v>
      </c>
      <c r="B1555" t="str">
        <f>"PRIMER PU GRIS 5X1  -  513.210-3.6  -  FARBEN"</f>
        <v>PRIMER PU GRIS 5X1  -  513.210-3.6  -  FARBEN</v>
      </c>
      <c r="C1555">
        <v>39174.89</v>
      </c>
      <c r="D1555">
        <v>47401.616900000001</v>
      </c>
    </row>
    <row r="1556" spans="1:4" x14ac:dyDescent="0.25">
      <c r="A1556" t="str">
        <f>"02459"</f>
        <v>02459</v>
      </c>
      <c r="B1556" t="str">
        <f>"PRIMER PU HS BLANCO SEC. RAPIDO  -  513.511-0.75  -  FARBEN"</f>
        <v>PRIMER PU HS BLANCO SEC. RAPIDO  -  513.511-0.75  -  FARBEN</v>
      </c>
      <c r="C1556">
        <v>12970.06</v>
      </c>
      <c r="D1556">
        <v>15693.772599999998</v>
      </c>
    </row>
    <row r="1557" spans="1:4" x14ac:dyDescent="0.25">
      <c r="A1557" t="str">
        <f>"02460"</f>
        <v>02460</v>
      </c>
      <c r="B1557" t="str">
        <f>"PRIMER PU HS BLANCO SEC. RAPIDO  -  513.511-3.6  -  FARBEN"</f>
        <v>PRIMER PU HS BLANCO SEC. RAPIDO  -  513.511-3.6  -  FARBEN</v>
      </c>
      <c r="C1557">
        <v>59556.42</v>
      </c>
      <c r="D1557">
        <v>72063.268199999991</v>
      </c>
    </row>
    <row r="1558" spans="1:4" x14ac:dyDescent="0.25">
      <c r="A1558" t="str">
        <f>"02461"</f>
        <v>02461</v>
      </c>
      <c r="B1558" t="str">
        <f>"PRIMER PU HS GRIS SEC.RAPIDO 5X1  -  513.510-0.75  -  FARBEN"</f>
        <v>PRIMER PU HS GRIS SEC.RAPIDO 5X1  -  513.510-0.75  -  FARBEN</v>
      </c>
      <c r="C1558">
        <v>12440.67</v>
      </c>
      <c r="D1558">
        <v>15053.2107</v>
      </c>
    </row>
    <row r="1559" spans="1:4" x14ac:dyDescent="0.25">
      <c r="A1559" t="str">
        <f>"02462"</f>
        <v>02462</v>
      </c>
      <c r="B1559" t="str">
        <f>"PRIMER PU HS GRIS SEC.RAPIDO 5X1  -  513.510-3.6  -  FARBEN"</f>
        <v>PRIMER PU HS GRIS SEC.RAPIDO 5X1  -  513.510-3.6  -  FARBEN</v>
      </c>
      <c r="C1559">
        <v>56909.47</v>
      </c>
      <c r="D1559">
        <v>68860.458700000003</v>
      </c>
    </row>
    <row r="1560" spans="1:4" x14ac:dyDescent="0.25">
      <c r="A1560" t="str">
        <f>"02463"</f>
        <v>02463</v>
      </c>
      <c r="B1560" t="str">
        <f>"PRIMER PU HS GRIS OSCU. SEC. RAPIDO  -  513.512-3.6  -  FARBEN"</f>
        <v>PRIMER PU HS GRIS OSCU. SEC. RAPIDO  -  513.512-3.6  -  FARBEN</v>
      </c>
      <c r="C1560">
        <v>56909.47</v>
      </c>
      <c r="D1560">
        <v>68860.458700000003</v>
      </c>
    </row>
    <row r="1561" spans="1:4" x14ac:dyDescent="0.25">
      <c r="A1561" t="str">
        <f>"02464"</f>
        <v>02464</v>
      </c>
      <c r="B1561" t="str">
        <f>"PRIMER PU UHS CINZA 3000 513.000-0.9 - FARBEN"</f>
        <v>PRIMER PU UHS CINZA 3000 513.000-0.9 - FARBEN</v>
      </c>
      <c r="C1561">
        <v>19375.689999999999</v>
      </c>
      <c r="D1561">
        <v>23444.584899999998</v>
      </c>
    </row>
    <row r="1562" spans="1:4" x14ac:dyDescent="0.25">
      <c r="A1562" t="str">
        <f>"02465"</f>
        <v>02465</v>
      </c>
      <c r="B1562" t="str">
        <f>"PRIMER UNIVERSAL BLANCO  -  512.130-0.9  -  FARBEN"</f>
        <v>PRIMER UNIVERSAL BLANCO  -  512.130-0.9  -  FARBEN</v>
      </c>
      <c r="C1562">
        <v>11441.45</v>
      </c>
      <c r="D1562">
        <v>13844.154500000001</v>
      </c>
    </row>
    <row r="1563" spans="1:4" x14ac:dyDescent="0.25">
      <c r="A1563" t="str">
        <f>"02466"</f>
        <v>02466</v>
      </c>
      <c r="B1563" t="str">
        <f>"PRIMER UNIVERSAL BLANCO  -  512.130-3.6  -  FARBEN"</f>
        <v>PRIMER UNIVERSAL BLANCO  -  512.130-3.6  -  FARBEN</v>
      </c>
      <c r="C1563">
        <v>42946.8</v>
      </c>
      <c r="D1563">
        <v>51965.628000000004</v>
      </c>
    </row>
    <row r="1564" spans="1:4" x14ac:dyDescent="0.25">
      <c r="A1564" t="str">
        <f>"02467"</f>
        <v>02467</v>
      </c>
      <c r="B1564" t="str">
        <f>"PRIMER UNIVERSAL GRIS  -  512.220-0.9  -  FARBEN"</f>
        <v>PRIMER UNIVERSAL GRIS  -  512.220-0.9  -  FARBEN</v>
      </c>
      <c r="C1564">
        <v>11183.37</v>
      </c>
      <c r="D1564">
        <v>13531.877700000001</v>
      </c>
    </row>
    <row r="1565" spans="1:4" x14ac:dyDescent="0.25">
      <c r="A1565" t="str">
        <f>"02468"</f>
        <v>02468</v>
      </c>
      <c r="B1565" t="str">
        <f>"PRIMER UNIVERSAL GRIS  -  512.220-3.6  -  FARBEN"</f>
        <v>PRIMER UNIVERSAL GRIS  -  512.220-3.6  -  FARBEN</v>
      </c>
      <c r="C1565">
        <v>42483.58</v>
      </c>
      <c r="D1565">
        <v>51405.131800000003</v>
      </c>
    </row>
    <row r="1566" spans="1:4" x14ac:dyDescent="0.25">
      <c r="A1566" t="str">
        <f>"02469"</f>
        <v>02469</v>
      </c>
      <c r="B1566" t="str">
        <f>"PRIMER UNIVERSAL NEGRO X 0.9  512.900EX-0.9 - FARBEN"</f>
        <v>PRIMER UNIVERSAL NEGRO X 0.9  512.900EX-0.9 - FARBEN</v>
      </c>
      <c r="C1566">
        <v>13102.41</v>
      </c>
      <c r="D1566">
        <v>15853.916099999999</v>
      </c>
    </row>
    <row r="1567" spans="1:4" x14ac:dyDescent="0.25">
      <c r="A1567" t="str">
        <f>"02470"</f>
        <v>02470</v>
      </c>
      <c r="B1567" t="str">
        <f>"PULIDOR 3 EN 1 X 0.5 KL - FARBEN"</f>
        <v>PULIDOR 3 EN 1 X 0.5 KL - FARBEN</v>
      </c>
      <c r="C1567">
        <v>25212.22</v>
      </c>
      <c r="D1567">
        <v>30506.786200000002</v>
      </c>
    </row>
    <row r="1568" spans="1:4" x14ac:dyDescent="0.25">
      <c r="A1568" t="str">
        <f>"02471"</f>
        <v>02471</v>
      </c>
      <c r="B1568" t="str">
        <f>"PULIDOR FINO (PASO 2)   COD 130-05    - FARBEN"</f>
        <v>PULIDOR FINO (PASO 2)   COD 130-05    - FARBEN</v>
      </c>
      <c r="C1568">
        <v>21079.74</v>
      </c>
      <c r="D1568">
        <v>25506.485400000001</v>
      </c>
    </row>
    <row r="1569" spans="1:4" x14ac:dyDescent="0.25">
      <c r="A1569" t="str">
        <f>"02477"</f>
        <v>02477</v>
      </c>
      <c r="B1569" t="str">
        <f>"P.U. FARBEN 2X1 - AMARILLO SIN CATALIZADOR"</f>
        <v>P.U. FARBEN 2X1 - AMARILLO SIN CATALIZADOR</v>
      </c>
      <c r="C1569">
        <v>53215.9</v>
      </c>
      <c r="D1569">
        <v>64391.239000000001</v>
      </c>
    </row>
    <row r="1570" spans="1:4" x14ac:dyDescent="0.25">
      <c r="A1570" t="str">
        <f>"02480"</f>
        <v>02480</v>
      </c>
      <c r="B1570" t="str">
        <f>"SEALER AUTOMOTIVO  -  509.050-0.9  -  FARBEN"</f>
        <v>SEALER AUTOMOTIVO  -  509.050-0.9  -  FARBEN</v>
      </c>
      <c r="C1570">
        <v>20909.990000000002</v>
      </c>
      <c r="D1570">
        <v>25301.087900000002</v>
      </c>
    </row>
    <row r="1571" spans="1:4" x14ac:dyDescent="0.25">
      <c r="A1571" t="str">
        <f>"02481"</f>
        <v>02481</v>
      </c>
      <c r="B1571" t="str">
        <f>"SELLADOR P/PLASTICO  -  509.000-0.9  -  FARBEN"</f>
        <v>SELLADOR P/PLASTICO  -  509.000-0.9  -  FARBEN</v>
      </c>
      <c r="C1571">
        <v>23363.64</v>
      </c>
      <c r="D1571">
        <v>28270.004399999998</v>
      </c>
    </row>
    <row r="1572" spans="1:4" x14ac:dyDescent="0.25">
      <c r="A1572" t="str">
        <f>"02482"</f>
        <v>02482</v>
      </c>
      <c r="B1572" t="str">
        <f>"SILICONA GEL X 250GR - FARBEN"</f>
        <v>SILICONA GEL X 250GR - FARBEN</v>
      </c>
      <c r="C1572">
        <v>18178.580000000002</v>
      </c>
      <c r="D1572">
        <v>21996.0818</v>
      </c>
    </row>
    <row r="1573" spans="1:4" x14ac:dyDescent="0.25">
      <c r="A1573" t="str">
        <f>"02484"</f>
        <v>02484</v>
      </c>
      <c r="B1573" t="str">
        <f>"SOLUCIÓN PARA AJUSTE METÁLICO  -  UC580-0.9  -  FARBEN"</f>
        <v>SOLUCIÓN PARA AJUSTE METÁLICO  -  UC580-0.9  -  FARBEN</v>
      </c>
      <c r="C1573">
        <v>30832.6</v>
      </c>
      <c r="D1573">
        <v>37307.445999999996</v>
      </c>
    </row>
    <row r="1574" spans="1:4" x14ac:dyDescent="0.25">
      <c r="A1574" t="str">
        <f>"02485"</f>
        <v>02485</v>
      </c>
      <c r="B1574" t="str">
        <f>"WASH PRIMER  -  517.600-0.6  -  FARBEN"</f>
        <v>WASH PRIMER  -  517.600-0.6  -  FARBEN</v>
      </c>
      <c r="C1574">
        <v>11563</v>
      </c>
      <c r="D1574">
        <v>13991.23</v>
      </c>
    </row>
    <row r="1575" spans="1:4" x14ac:dyDescent="0.25">
      <c r="A1575" t="str">
        <f>"02495"</f>
        <v>02495</v>
      </c>
      <c r="B1575" t="str">
        <f>"COMPLEMENTOS 1-2-G3 - G3 FLEXICUT-G3F130 PASTAUNIV. X 1 KG - FLIMPEX"</f>
        <v>COMPLEMENTOS 1-2-G3 - G3 FLEXICUT-G3F130 PASTAUNIV. X 1 KG - FLIMPEX</v>
      </c>
      <c r="C1575">
        <v>31786.080000000002</v>
      </c>
      <c r="D1575">
        <v>38461.156800000004</v>
      </c>
    </row>
    <row r="1576" spans="1:4" x14ac:dyDescent="0.25">
      <c r="A1576" t="str">
        <f>"02517"</f>
        <v>02517</v>
      </c>
      <c r="B1576" t="str">
        <f>"PAÑO CORDERO DOBLE CARA - FLIMPEX"</f>
        <v>PAÑO CORDERO DOBLE CARA - FLIMPEX</v>
      </c>
      <c r="C1576">
        <v>36700.17</v>
      </c>
      <c r="D1576">
        <v>44407.205699999999</v>
      </c>
    </row>
    <row r="1577" spans="1:4" x14ac:dyDescent="0.25">
      <c r="A1577" t="str">
        <f>"02526"</f>
        <v>02526</v>
      </c>
      <c r="B1577" t="str">
        <f>"PASTA DE PULIDO  G3 PASO 1  1 - 2 - 3 - ADVANCED `EXTRA CUT`  X 0,5L - FLIMPEX"</f>
        <v>PASTA DE PULIDO  G3 PASO 1  1 - 2 - 3 - ADVANCED `EXTRA CUT`  X 0,5L - FLIMPEX</v>
      </c>
      <c r="C1577">
        <v>27742.84</v>
      </c>
      <c r="D1577">
        <v>33568.8364</v>
      </c>
    </row>
    <row r="1578" spans="1:4" x14ac:dyDescent="0.25">
      <c r="A1578" t="str">
        <f>"02527"</f>
        <v>02527</v>
      </c>
      <c r="B1578" t="str">
        <f>"PASTA DE PULIDO  G3 PASO 1  1 - 2 - 3 - ADVANCED `EXTRA CUT`  X 1L - FLIMPEX"</f>
        <v>PASTA DE PULIDO  G3 PASO 1  1 - 2 - 3 - ADVANCED `EXTRA CUT`  X 1L - FLIMPEX</v>
      </c>
      <c r="C1578">
        <v>48108.33</v>
      </c>
      <c r="D1578">
        <v>58211.079299999998</v>
      </c>
    </row>
    <row r="1579" spans="1:4" x14ac:dyDescent="0.25">
      <c r="A1579" t="str">
        <f>"02528"</f>
        <v>02528</v>
      </c>
      <c r="B1579" t="str">
        <f>"PASTA DE PULIDO  G3 PASO 1  1 - 2 - 3 - ADVANCED `EXTRA CUT`  X 3.8L - FLIMPEX"</f>
        <v>PASTA DE PULIDO  G3 PASO 1  1 - 2 - 3 - ADVANCED `EXTRA CUT`  X 3.8L - FLIMPEX</v>
      </c>
      <c r="C1579">
        <v>167949.94</v>
      </c>
      <c r="D1579">
        <v>203219.42739999999</v>
      </c>
    </row>
    <row r="1580" spans="1:4" x14ac:dyDescent="0.25">
      <c r="A1580" t="str">
        <f>"02530"</f>
        <v>02530</v>
      </c>
      <c r="B1580" t="str">
        <f>"PASTA DE PULIDO  G3 PASO 2  1- 2 - 3  - FINE - G3F101 P/HOLOGRAMAS X 1KG - FLIMPEX"</f>
        <v>PASTA DE PULIDO  G3 PASO 2  1- 2 - 3  - FINE - G3F101 P/HOLOGRAMAS X 1KG - FLIMPEX</v>
      </c>
      <c r="C1580">
        <v>44338.78</v>
      </c>
      <c r="D1580">
        <v>53649.923799999997</v>
      </c>
    </row>
    <row r="1581" spans="1:4" x14ac:dyDescent="0.25">
      <c r="A1581" t="str">
        <f>"02532"</f>
        <v>02532</v>
      </c>
      <c r="B1581" t="str">
        <f>"PASTA DE PULIDO  G3 PASO 3  1 - 2 - 3 - GLAZE - G3G501  ABRILLANTADOR X 0,5L  - FLIMPEX"</f>
        <v>PASTA DE PULIDO  G3 PASO 3  1 - 2 - 3 - GLAZE - G3G501  ABRILLANTADOR X 0,5L  - FLIMPEX</v>
      </c>
      <c r="C1581">
        <v>25528.39</v>
      </c>
      <c r="D1581">
        <v>30889.351899999998</v>
      </c>
    </row>
    <row r="1582" spans="1:4" x14ac:dyDescent="0.25">
      <c r="A1582" t="str">
        <f>"02537"</f>
        <v>02537</v>
      </c>
      <c r="B1582" t="str">
        <f>"SOPLETE SAG 1300  1.3 C/ REPUESTO - FLIMPEX"</f>
        <v>SOPLETE SAG 1300  1.3 C/ REPUESTO - FLIMPEX</v>
      </c>
      <c r="C1582">
        <v>117564.96</v>
      </c>
      <c r="D1582">
        <v>142253.60159999999</v>
      </c>
    </row>
    <row r="1583" spans="1:4" x14ac:dyDescent="0.25">
      <c r="A1583" t="str">
        <f>"02538"</f>
        <v>02538</v>
      </c>
      <c r="B1583" t="str">
        <f>"SOPLETE SAG 1400  1.4 C/ REPUESTO - FLIMPEX"</f>
        <v>SOPLETE SAG 1400  1.4 C/ REPUESTO - FLIMPEX</v>
      </c>
      <c r="C1583">
        <v>117564.96</v>
      </c>
      <c r="D1583">
        <v>142253.60159999999</v>
      </c>
    </row>
    <row r="1584" spans="1:4" x14ac:dyDescent="0.25">
      <c r="A1584" t="str">
        <f>"02539"</f>
        <v>02539</v>
      </c>
      <c r="B1584" t="str">
        <f>"SOPLETE SAG 1700  1.7 C/ REPUESTO - FLIMPEX"</f>
        <v>SOPLETE SAG 1700  1.7 C/ REPUESTO - FLIMPEX</v>
      </c>
      <c r="C1584">
        <v>117564.96</v>
      </c>
      <c r="D1584">
        <v>142253.60159999999</v>
      </c>
    </row>
    <row r="1585" spans="1:4" x14ac:dyDescent="0.25">
      <c r="A1585" t="str">
        <f>"02546"</f>
        <v>02546</v>
      </c>
      <c r="B1585" t="str">
        <f>"LIJA AL AGUA N120 - EL GALGO"</f>
        <v>LIJA AL AGUA N120 - EL GALGO</v>
      </c>
      <c r="C1585">
        <v>675.84</v>
      </c>
      <c r="D1585">
        <v>817.76639999999998</v>
      </c>
    </row>
    <row r="1586" spans="1:4" x14ac:dyDescent="0.25">
      <c r="A1586" t="str">
        <f>"02551"</f>
        <v>02551</v>
      </c>
      <c r="B1586" t="str">
        <f>"LIJA AL AGUA N2000 - EL GALGO"</f>
        <v>LIJA AL AGUA N2000 - EL GALGO</v>
      </c>
      <c r="C1586">
        <v>2071.08</v>
      </c>
      <c r="D1586">
        <v>2506.0067999999997</v>
      </c>
    </row>
    <row r="1587" spans="1:4" x14ac:dyDescent="0.25">
      <c r="A1587" t="str">
        <f>"02553"</f>
        <v>02553</v>
      </c>
      <c r="B1587" t="str">
        <f>"LIJA AL AGUA N240 - EL GALGO"</f>
        <v>LIJA AL AGUA N240 - EL GALGO</v>
      </c>
      <c r="C1587">
        <v>675.84</v>
      </c>
      <c r="D1587">
        <v>817.76639999999998</v>
      </c>
    </row>
    <row r="1588" spans="1:4" x14ac:dyDescent="0.25">
      <c r="A1588" t="str">
        <f>"02554"</f>
        <v>02554</v>
      </c>
      <c r="B1588" t="str">
        <f>"LIJA AL AGUA N280 - GALGO"</f>
        <v>LIJA AL AGUA N280 - GALGO</v>
      </c>
      <c r="C1588">
        <v>675.84</v>
      </c>
      <c r="D1588">
        <v>817.76639999999998</v>
      </c>
    </row>
    <row r="1589" spans="1:4" x14ac:dyDescent="0.25">
      <c r="A1589" t="str">
        <f>"02557"</f>
        <v>02557</v>
      </c>
      <c r="B1589" t="str">
        <f>"LIJA AL AGUA N400- EL GALGO"</f>
        <v>LIJA AL AGUA N400- EL GALGO</v>
      </c>
      <c r="C1589">
        <v>675.84</v>
      </c>
      <c r="D1589">
        <v>817.76639999999998</v>
      </c>
    </row>
    <row r="1590" spans="1:4" x14ac:dyDescent="0.25">
      <c r="A1590" t="str">
        <f>"02559"</f>
        <v>02559</v>
      </c>
      <c r="B1590" t="str">
        <f>"LIJA AL AGUA N600 - EL GALGO"</f>
        <v>LIJA AL AGUA N600 - EL GALGO</v>
      </c>
      <c r="C1590">
        <v>675.84</v>
      </c>
      <c r="D1590">
        <v>817.76639999999998</v>
      </c>
    </row>
    <row r="1591" spans="1:4" x14ac:dyDescent="0.25">
      <c r="A1591" t="str">
        <f>"02563"</f>
        <v>02563</v>
      </c>
      <c r="B1591" t="str">
        <f>"-------"</f>
        <v>-------</v>
      </c>
      <c r="C1591">
        <v>3013.56</v>
      </c>
      <c r="D1591">
        <v>3646.4076</v>
      </c>
    </row>
    <row r="1592" spans="1:4" x14ac:dyDescent="0.25">
      <c r="A1592" t="str">
        <f>"02566"</f>
        <v>02566</v>
      </c>
      <c r="B1592" t="str">
        <f>"PINCEL GOLD N10 - EL GALGO"</f>
        <v>PINCEL GOLD N10 - EL GALGO</v>
      </c>
      <c r="C1592">
        <v>2352.2399999999998</v>
      </c>
      <c r="D1592">
        <v>2846.2103999999995</v>
      </c>
    </row>
    <row r="1593" spans="1:4" x14ac:dyDescent="0.25">
      <c r="A1593" t="str">
        <f>"02567"</f>
        <v>02567</v>
      </c>
      <c r="B1593" t="str">
        <f>"PINCEL GOLD N15 - EL GALGO"</f>
        <v>PINCEL GOLD N15 - EL GALGO</v>
      </c>
      <c r="C1593">
        <v>3429.36</v>
      </c>
      <c r="D1593">
        <v>4149.5255999999999</v>
      </c>
    </row>
    <row r="1594" spans="1:4" x14ac:dyDescent="0.25">
      <c r="A1594" t="str">
        <f>"02568"</f>
        <v>02568</v>
      </c>
      <c r="B1594" t="str">
        <f>"PINCEL GOLD N20 - EL GALGO"</f>
        <v>PINCEL GOLD N20 - EL GALGO</v>
      </c>
      <c r="C1594">
        <v>4478.76</v>
      </c>
      <c r="D1594">
        <v>5419.2996000000003</v>
      </c>
    </row>
    <row r="1595" spans="1:4" x14ac:dyDescent="0.25">
      <c r="A1595" t="str">
        <f>"02569"</f>
        <v>02569</v>
      </c>
      <c r="B1595" t="str">
        <f>"PINCEL GOLD N25 - EL GALGO"</f>
        <v>PINCEL GOLD N25 - EL GALGO</v>
      </c>
      <c r="C1595">
        <v>5850.24</v>
      </c>
      <c r="D1595">
        <v>7078.7903999999999</v>
      </c>
    </row>
    <row r="1596" spans="1:4" x14ac:dyDescent="0.25">
      <c r="A1596" t="str">
        <f>"02570"</f>
        <v>02570</v>
      </c>
      <c r="B1596" t="str">
        <f>"PINCEL GOLD N30 - EL GALGO"</f>
        <v>PINCEL GOLD N30 - EL GALGO</v>
      </c>
      <c r="C1596">
        <v>7143.84</v>
      </c>
      <c r="D1596">
        <v>8644.0463999999993</v>
      </c>
    </row>
    <row r="1597" spans="1:4" x14ac:dyDescent="0.25">
      <c r="A1597" t="str">
        <f>"02571"</f>
        <v>02571</v>
      </c>
      <c r="B1597" t="str">
        <f>"PINCEL PERSIANERO X 10 - EL GALGO"</f>
        <v>PINCEL PERSIANERO X 10 - EL GALGO</v>
      </c>
      <c r="C1597">
        <v>1884.96</v>
      </c>
      <c r="D1597">
        <v>2280.8015999999998</v>
      </c>
    </row>
    <row r="1598" spans="1:4" x14ac:dyDescent="0.25">
      <c r="A1598" t="str">
        <f>"02572"</f>
        <v>02572</v>
      </c>
      <c r="B1598" t="str">
        <f>"PINCEL PERSIANERO X 15 - EL GALGO"</f>
        <v>PINCEL PERSIANERO X 15 - EL GALGO</v>
      </c>
      <c r="C1598">
        <v>2176.6799999999998</v>
      </c>
      <c r="D1598">
        <v>2633.7828</v>
      </c>
    </row>
    <row r="1599" spans="1:4" x14ac:dyDescent="0.25">
      <c r="A1599" t="str">
        <f>"02573"</f>
        <v>02573</v>
      </c>
      <c r="B1599" t="str">
        <f>"PINCEL PERSIANERO X 20 - EL GALGO"</f>
        <v>PINCEL PERSIANERO X 20 - EL GALGO</v>
      </c>
      <c r="C1599">
        <v>2869.68</v>
      </c>
      <c r="D1599">
        <v>3472.3127999999997</v>
      </c>
    </row>
    <row r="1600" spans="1:4" x14ac:dyDescent="0.25">
      <c r="A1600" t="str">
        <f>"02574"</f>
        <v>02574</v>
      </c>
      <c r="B1600" t="str">
        <f>"PINCEL PERSIANERO X 25 - EL GALGO"</f>
        <v>PINCEL PERSIANERO X 25 - EL GALGO</v>
      </c>
      <c r="C1600">
        <v>3410.88</v>
      </c>
      <c r="D1600">
        <v>4127.1647999999996</v>
      </c>
    </row>
    <row r="1601" spans="1:4" x14ac:dyDescent="0.25">
      <c r="A1601" t="str">
        <f>"02575"</f>
        <v>02575</v>
      </c>
      <c r="B1601" t="str">
        <f>"PINCEL PERSIANERO X 30 - EL GALGO"</f>
        <v>PINCEL PERSIANERO X 30 - EL GALGO</v>
      </c>
      <c r="C1601">
        <v>5037.12</v>
      </c>
      <c r="D1601">
        <v>6094.9151999999995</v>
      </c>
    </row>
    <row r="1602" spans="1:4" x14ac:dyDescent="0.25">
      <c r="A1602" t="str">
        <f>"02577"</f>
        <v>02577</v>
      </c>
      <c r="B1602" t="str">
        <f>"PINCELETA OBRA AZUL V4 N 40 - EL GALGO"</f>
        <v>PINCELETA OBRA AZUL V4 N 40 - EL GALGO</v>
      </c>
      <c r="C1602">
        <v>5458.2</v>
      </c>
      <c r="D1602">
        <v>6604.4219999999996</v>
      </c>
    </row>
    <row r="1603" spans="1:4" x14ac:dyDescent="0.25">
      <c r="A1603" t="str">
        <f>"02578"</f>
        <v>02578</v>
      </c>
      <c r="B1603" t="str">
        <f>"RODILLO ANTIGOTA N22 - GALGO"</f>
        <v>RODILLO ANTIGOTA N22 - GALGO</v>
      </c>
      <c r="C1603">
        <v>7547.76</v>
      </c>
      <c r="D1603">
        <v>9132.7896000000001</v>
      </c>
    </row>
    <row r="1604" spans="1:4" x14ac:dyDescent="0.25">
      <c r="A1604" t="str">
        <f>"02579"</f>
        <v>02579</v>
      </c>
      <c r="B1604" t="str">
        <f>"RODILLO CUERO LANAR N° 22 - EL GALGO"</f>
        <v>RODILLO CUERO LANAR N° 22 - EL GALGO</v>
      </c>
      <c r="C1604">
        <v>10991.64</v>
      </c>
      <c r="D1604">
        <v>13299.884399999999</v>
      </c>
    </row>
    <row r="1605" spans="1:4" x14ac:dyDescent="0.25">
      <c r="A1605" t="str">
        <f>"02584"</f>
        <v>02584</v>
      </c>
      <c r="B1605" t="str">
        <f>"RODILLO FOAM N 11- GALGO"</f>
        <v>RODILLO FOAM N 11- GALGO</v>
      </c>
      <c r="C1605">
        <v>4352.04</v>
      </c>
      <c r="D1605">
        <v>5265.9683999999997</v>
      </c>
    </row>
    <row r="1606" spans="1:4" x14ac:dyDescent="0.25">
      <c r="A1606" t="str">
        <f>"02585"</f>
        <v>02585</v>
      </c>
      <c r="B1606" t="str">
        <f>"RODILLO FOAM N 7 - GALGO"</f>
        <v>RODILLO FOAM N 7 - GALGO</v>
      </c>
      <c r="C1606">
        <v>3437.28</v>
      </c>
      <c r="D1606">
        <v>4159.1088</v>
      </c>
    </row>
    <row r="1607" spans="1:4" x14ac:dyDescent="0.25">
      <c r="A1607" t="str">
        <f>"02586"</f>
        <v>02586</v>
      </c>
      <c r="B1607" t="str">
        <f>"RODILLO PREDATOR ANTIGOTA N 22- EL GALGO"</f>
        <v>RODILLO PREDATOR ANTIGOTA N 22- EL GALGO</v>
      </c>
      <c r="C1607">
        <v>9220.2000000000007</v>
      </c>
      <c r="D1607">
        <v>11156.442000000001</v>
      </c>
    </row>
    <row r="1608" spans="1:4" x14ac:dyDescent="0.25">
      <c r="A1608" t="str">
        <f>"02599"</f>
        <v>02599</v>
      </c>
      <c r="B1608" t="str">
        <f>"CINTA AZUL N48 - NORTON"</f>
        <v>CINTA AZUL N48 - NORTON</v>
      </c>
      <c r="C1608">
        <v>7030.02</v>
      </c>
      <c r="D1608">
        <v>8506.3242000000009</v>
      </c>
    </row>
    <row r="1609" spans="1:4" x14ac:dyDescent="0.25">
      <c r="A1609" t="str">
        <f>"02602"</f>
        <v>02602</v>
      </c>
      <c r="B1609" t="str">
        <f>"DISCO FIBRA 180X22 GRANO N°16 F247 - NORTON"</f>
        <v>DISCO FIBRA 180X22 GRANO N°16 F247 - NORTON</v>
      </c>
      <c r="C1609">
        <v>3656.16</v>
      </c>
      <c r="D1609">
        <v>4423.9535999999998</v>
      </c>
    </row>
    <row r="1610" spans="1:4" x14ac:dyDescent="0.25">
      <c r="A1610" t="str">
        <f>"02603"</f>
        <v>02603</v>
      </c>
      <c r="B1610" t="str">
        <f>"DISCO FIBRA 180X22 GRANO N°24 F247 - NORTON"</f>
        <v>DISCO FIBRA 180X22 GRANO N°24 F247 - NORTON</v>
      </c>
      <c r="C1610">
        <v>3656.16</v>
      </c>
      <c r="D1610">
        <v>4423.9535999999998</v>
      </c>
    </row>
    <row r="1611" spans="1:4" x14ac:dyDescent="0.25">
      <c r="A1611" t="str">
        <f>"02604"</f>
        <v>02604</v>
      </c>
      <c r="B1611" t="str">
        <f>"DISCO FIBRA 180X22 GRANO N°36 F247 - NORTON"</f>
        <v>DISCO FIBRA 180X22 GRANO N°36 F247 - NORTON</v>
      </c>
      <c r="C1611">
        <v>3656.16</v>
      </c>
      <c r="D1611">
        <v>4423.9535999999998</v>
      </c>
    </row>
    <row r="1612" spans="1:4" x14ac:dyDescent="0.25">
      <c r="A1612" t="str">
        <f>"02606"</f>
        <v>02606</v>
      </c>
      <c r="B1612" t="str">
        <f>"HOJA TELA ESMERIL K246 N120 - NORTON"</f>
        <v>HOJA TELA ESMERIL K246 N120 - NORTON</v>
      </c>
      <c r="C1612">
        <v>1396.06</v>
      </c>
      <c r="D1612">
        <v>1689.2325999999998</v>
      </c>
    </row>
    <row r="1613" spans="1:4" x14ac:dyDescent="0.25">
      <c r="A1613" t="str">
        <f>"02607"</f>
        <v>02607</v>
      </c>
      <c r="B1613" t="str">
        <f>"HOJA TELA ESMERIL K246 N150 - NORTON"</f>
        <v>HOJA TELA ESMERIL K246 N150 - NORTON</v>
      </c>
      <c r="C1613">
        <v>1396.06</v>
      </c>
      <c r="D1613">
        <v>1689.2325999999998</v>
      </c>
    </row>
    <row r="1614" spans="1:4" x14ac:dyDescent="0.25">
      <c r="A1614" t="str">
        <f>"02608"</f>
        <v>02608</v>
      </c>
      <c r="B1614" t="str">
        <f>"HOJA TELA ESMERIL K246 N180 - NORTON"</f>
        <v>HOJA TELA ESMERIL K246 N180 - NORTON</v>
      </c>
      <c r="C1614">
        <v>1396.06</v>
      </c>
      <c r="D1614">
        <v>1689.2325999999998</v>
      </c>
    </row>
    <row r="1615" spans="1:4" x14ac:dyDescent="0.25">
      <c r="A1615" t="str">
        <f>"02609"</f>
        <v>02609</v>
      </c>
      <c r="B1615" t="str">
        <f>"HOJA TELA ESMERIL K246 N40 - NORTON"</f>
        <v>HOJA TELA ESMERIL K246 N40 - NORTON</v>
      </c>
      <c r="C1615">
        <v>1396.06</v>
      </c>
      <c r="D1615">
        <v>1689.2325999999998</v>
      </c>
    </row>
    <row r="1616" spans="1:4" x14ac:dyDescent="0.25">
      <c r="A1616" t="str">
        <f>"02610"</f>
        <v>02610</v>
      </c>
      <c r="B1616" t="str">
        <f>"HOJA TELA ESMERIL K246 N50 - NORTON"</f>
        <v>HOJA TELA ESMERIL K246 N50 - NORTON</v>
      </c>
      <c r="C1616">
        <v>1396.06</v>
      </c>
      <c r="D1616">
        <v>1689.2325999999998</v>
      </c>
    </row>
    <row r="1617" spans="1:4" x14ac:dyDescent="0.25">
      <c r="A1617" t="str">
        <f>"02611"</f>
        <v>02611</v>
      </c>
      <c r="B1617" t="str">
        <f>"HOJA TELA ESMERIL K246 N80 - NORTON"</f>
        <v>HOJA TELA ESMERIL K246 N80 - NORTON</v>
      </c>
      <c r="C1617">
        <v>1396.06</v>
      </c>
      <c r="D1617">
        <v>1689.2325999999998</v>
      </c>
    </row>
    <row r="1618" spans="1:4" x14ac:dyDescent="0.25">
      <c r="A1618" t="str">
        <f>"02612"</f>
        <v>02612</v>
      </c>
      <c r="B1618" t="str">
        <f>"LIJA AL AGUA NOR T277 N100 - NORTON"</f>
        <v>LIJA AL AGUA NOR T277 N100 - NORTON</v>
      </c>
      <c r="C1618">
        <v>674.52</v>
      </c>
      <c r="D1618">
        <v>816.16919999999993</v>
      </c>
    </row>
    <row r="1619" spans="1:4" x14ac:dyDescent="0.25">
      <c r="A1619" t="str">
        <f>"02613"</f>
        <v>02613</v>
      </c>
      <c r="B1619" t="str">
        <f>"LIJA AL AGUA NOR T277 N120 - NORTON"</f>
        <v>LIJA AL AGUA NOR T277 N120 - NORTON</v>
      </c>
      <c r="C1619">
        <v>674.52</v>
      </c>
      <c r="D1619">
        <v>816.16919999999993</v>
      </c>
    </row>
    <row r="1620" spans="1:4" x14ac:dyDescent="0.25">
      <c r="A1620" t="str">
        <f>"02614"</f>
        <v>02614</v>
      </c>
      <c r="B1620" t="str">
        <f>"LIJA AL AGUA NOR T277 N180 - NORTON"</f>
        <v>LIJA AL AGUA NOR T277 N180 - NORTON</v>
      </c>
      <c r="C1620">
        <v>674.52</v>
      </c>
      <c r="D1620">
        <v>816.16919999999993</v>
      </c>
    </row>
    <row r="1621" spans="1:4" x14ac:dyDescent="0.25">
      <c r="A1621" t="str">
        <f>"02615"</f>
        <v>02615</v>
      </c>
      <c r="B1621" t="str">
        <f>"LIJA AL AGUA NOR T277 N220 - NORTON"</f>
        <v>LIJA AL AGUA NOR T277 N220 - NORTON</v>
      </c>
      <c r="C1621">
        <v>674.52</v>
      </c>
      <c r="D1621">
        <v>816.16919999999993</v>
      </c>
    </row>
    <row r="1622" spans="1:4" x14ac:dyDescent="0.25">
      <c r="A1622" t="str">
        <f>"02616"</f>
        <v>02616</v>
      </c>
      <c r="B1622" t="str">
        <f>"LIJA AL AGUA NOR T277 N240 - NORTON"</f>
        <v>LIJA AL AGUA NOR T277 N240 - NORTON</v>
      </c>
      <c r="C1622">
        <v>674.52</v>
      </c>
      <c r="D1622">
        <v>816.16919999999993</v>
      </c>
    </row>
    <row r="1623" spans="1:4" x14ac:dyDescent="0.25">
      <c r="A1623" t="str">
        <f>"02617"</f>
        <v>02617</v>
      </c>
      <c r="B1623" t="str">
        <f>"LIJA AL AGUA NOR T277 N280 - NORTON"</f>
        <v>LIJA AL AGUA NOR T277 N280 - NORTON</v>
      </c>
      <c r="C1623">
        <v>674.52</v>
      </c>
      <c r="D1623">
        <v>816.16919999999993</v>
      </c>
    </row>
    <row r="1624" spans="1:4" x14ac:dyDescent="0.25">
      <c r="A1624" t="str">
        <f>"02618"</f>
        <v>02618</v>
      </c>
      <c r="B1624" t="str">
        <f>"LIJA AL AGUA NOR T277 N320 - NORTON"</f>
        <v>LIJA AL AGUA NOR T277 N320 - NORTON</v>
      </c>
      <c r="C1624">
        <v>674.52</v>
      </c>
      <c r="D1624">
        <v>816.16919999999993</v>
      </c>
    </row>
    <row r="1625" spans="1:4" x14ac:dyDescent="0.25">
      <c r="A1625" t="str">
        <f>"02619"</f>
        <v>02619</v>
      </c>
      <c r="B1625" t="str">
        <f>"LIJA AL AGUA NOR T277 N360 - NORTON"</f>
        <v>LIJA AL AGUA NOR T277 N360 - NORTON</v>
      </c>
      <c r="C1625">
        <v>674.52</v>
      </c>
      <c r="D1625">
        <v>816.16919999999993</v>
      </c>
    </row>
    <row r="1626" spans="1:4" x14ac:dyDescent="0.25">
      <c r="A1626" t="str">
        <f>"02620"</f>
        <v>02620</v>
      </c>
      <c r="B1626" t="str">
        <f>"LIJA AL AGUA NOR T277 N400 - NORTON"</f>
        <v>LIJA AL AGUA NOR T277 N400 - NORTON</v>
      </c>
      <c r="C1626">
        <v>674.52</v>
      </c>
      <c r="D1626">
        <v>816.16919999999993</v>
      </c>
    </row>
    <row r="1627" spans="1:4" x14ac:dyDescent="0.25">
      <c r="A1627" t="str">
        <f>"02621"</f>
        <v>02621</v>
      </c>
      <c r="B1627" t="str">
        <f>"LIJA AL AGUA NOR T277 N500 - NORTON"</f>
        <v>LIJA AL AGUA NOR T277 N500 - NORTON</v>
      </c>
      <c r="C1627">
        <v>674.52</v>
      </c>
      <c r="D1627">
        <v>816.16919999999993</v>
      </c>
    </row>
    <row r="1628" spans="1:4" x14ac:dyDescent="0.25">
      <c r="A1628" t="str">
        <f>"02622"</f>
        <v>02622</v>
      </c>
      <c r="B1628" t="str">
        <f>"LIJA AL AGUA NOR T277 N60 - NORTON"</f>
        <v>LIJA AL AGUA NOR T277 N60 - NORTON</v>
      </c>
      <c r="C1628">
        <v>674.52</v>
      </c>
      <c r="D1628">
        <v>816.16919999999993</v>
      </c>
    </row>
    <row r="1629" spans="1:4" x14ac:dyDescent="0.25">
      <c r="A1629" t="str">
        <f>"02623"</f>
        <v>02623</v>
      </c>
      <c r="B1629" t="str">
        <f>"LIJA AL AGUA NOR T277 N600 - NORTON"</f>
        <v>LIJA AL AGUA NOR T277 N600 - NORTON</v>
      </c>
      <c r="C1629">
        <v>674.52</v>
      </c>
      <c r="D1629">
        <v>816.16919999999993</v>
      </c>
    </row>
    <row r="1630" spans="1:4" x14ac:dyDescent="0.25">
      <c r="A1630" t="str">
        <f>"02624"</f>
        <v>02624</v>
      </c>
      <c r="B1630" t="str">
        <f>"LIJA AL AGUA NOR T277 N80 - NORTON"</f>
        <v>LIJA AL AGUA NOR T277 N80 - NORTON</v>
      </c>
      <c r="C1630">
        <v>674.52</v>
      </c>
      <c r="D1630">
        <v>816.16919999999993</v>
      </c>
    </row>
    <row r="1631" spans="1:4" x14ac:dyDescent="0.25">
      <c r="A1631" t="str">
        <f>"02625"</f>
        <v>02625</v>
      </c>
      <c r="B1631" t="str">
        <f>"LIJA AZUL NORTON T419 - N100"</f>
        <v>LIJA AZUL NORTON T419 - N100</v>
      </c>
      <c r="C1631">
        <v>808.65</v>
      </c>
      <c r="D1631">
        <v>978.4665</v>
      </c>
    </row>
    <row r="1632" spans="1:4" x14ac:dyDescent="0.25">
      <c r="A1632" t="str">
        <f>"02626"</f>
        <v>02626</v>
      </c>
      <c r="B1632" t="str">
        <f>"LIJA AZUL NORTON T419 - N120"</f>
        <v>LIJA AZUL NORTON T419 - N120</v>
      </c>
      <c r="C1632">
        <v>808.65</v>
      </c>
      <c r="D1632">
        <v>978.4665</v>
      </c>
    </row>
    <row r="1633" spans="1:4" x14ac:dyDescent="0.25">
      <c r="A1633" t="str">
        <f>"02627"</f>
        <v>02627</v>
      </c>
      <c r="B1633" t="str">
        <f>"LIJA AZUL NORTON T419 - N150"</f>
        <v>LIJA AZUL NORTON T419 - N150</v>
      </c>
      <c r="C1633">
        <v>808.65</v>
      </c>
      <c r="D1633">
        <v>978.4665</v>
      </c>
    </row>
    <row r="1634" spans="1:4" x14ac:dyDescent="0.25">
      <c r="A1634" t="str">
        <f>"02628"</f>
        <v>02628</v>
      </c>
      <c r="B1634" t="str">
        <f>"LIJA AZUL NORTON T419 - N180"</f>
        <v>LIJA AZUL NORTON T419 - N180</v>
      </c>
      <c r="C1634">
        <v>808.65</v>
      </c>
      <c r="D1634">
        <v>978.4665</v>
      </c>
    </row>
    <row r="1635" spans="1:4" x14ac:dyDescent="0.25">
      <c r="A1635" t="str">
        <f>"02629"</f>
        <v>02629</v>
      </c>
      <c r="B1635" t="str">
        <f>"LIJA AZUL NORTON T419 - N220"</f>
        <v>LIJA AZUL NORTON T419 - N220</v>
      </c>
      <c r="C1635">
        <v>808.65</v>
      </c>
      <c r="D1635">
        <v>978.4665</v>
      </c>
    </row>
    <row r="1636" spans="1:4" x14ac:dyDescent="0.25">
      <c r="A1636" t="str">
        <f>"02630"</f>
        <v>02630</v>
      </c>
      <c r="B1636" t="str">
        <f>"LIJA AZUL NORTON T419 - N240"</f>
        <v>LIJA AZUL NORTON T419 - N240</v>
      </c>
      <c r="C1636">
        <v>808.65</v>
      </c>
      <c r="D1636">
        <v>978.4665</v>
      </c>
    </row>
    <row r="1637" spans="1:4" x14ac:dyDescent="0.25">
      <c r="A1637" t="str">
        <f>"02631"</f>
        <v>02631</v>
      </c>
      <c r="B1637" t="str">
        <f>"LIJA AZUL NORTON T419 - N280"</f>
        <v>LIJA AZUL NORTON T419 - N280</v>
      </c>
      <c r="C1637">
        <v>808.65</v>
      </c>
      <c r="D1637">
        <v>978.4665</v>
      </c>
    </row>
    <row r="1638" spans="1:4" x14ac:dyDescent="0.25">
      <c r="A1638" t="str">
        <f>"02632"</f>
        <v>02632</v>
      </c>
      <c r="B1638" t="str">
        <f>"LIJA AZUL NORTON T419 - N320"</f>
        <v>LIJA AZUL NORTON T419 - N320</v>
      </c>
      <c r="C1638">
        <v>808.65</v>
      </c>
      <c r="D1638">
        <v>978.4665</v>
      </c>
    </row>
    <row r="1639" spans="1:4" x14ac:dyDescent="0.25">
      <c r="A1639" t="str">
        <f>"02633"</f>
        <v>02633</v>
      </c>
      <c r="B1639" t="str">
        <f>"LIJA AZUL NORTON T419 - N360"</f>
        <v>LIJA AZUL NORTON T419 - N360</v>
      </c>
      <c r="C1639">
        <v>808.65</v>
      </c>
      <c r="D1639">
        <v>978.4665</v>
      </c>
    </row>
    <row r="1640" spans="1:4" x14ac:dyDescent="0.25">
      <c r="A1640" t="str">
        <f>"02634"</f>
        <v>02634</v>
      </c>
      <c r="B1640" t="str">
        <f>"LIJA AZUL NORTON T419 - N400"</f>
        <v>LIJA AZUL NORTON T419 - N400</v>
      </c>
      <c r="C1640">
        <v>808.65</v>
      </c>
      <c r="D1640">
        <v>978.4665</v>
      </c>
    </row>
    <row r="1641" spans="1:4" x14ac:dyDescent="0.25">
      <c r="A1641" t="str">
        <f>"02635"</f>
        <v>02635</v>
      </c>
      <c r="B1641" t="str">
        <f>"LIJA AZUL NORTON T419 - N500"</f>
        <v>LIJA AZUL NORTON T419 - N500</v>
      </c>
      <c r="C1641">
        <v>808.65</v>
      </c>
      <c r="D1641">
        <v>978.4665</v>
      </c>
    </row>
    <row r="1642" spans="1:4" x14ac:dyDescent="0.25">
      <c r="A1642" t="str">
        <f>"02636"</f>
        <v>02636</v>
      </c>
      <c r="B1642" t="str">
        <f>"LIJA AZUL NORTON T419 - N60"</f>
        <v>LIJA AZUL NORTON T419 - N60</v>
      </c>
      <c r="C1642">
        <v>808.65</v>
      </c>
      <c r="D1642">
        <v>978.4665</v>
      </c>
    </row>
    <row r="1643" spans="1:4" x14ac:dyDescent="0.25">
      <c r="A1643" t="str">
        <f>"02637"</f>
        <v>02637</v>
      </c>
      <c r="B1643" t="str">
        <f>"LIJA AZUL NORTON T419 - N600"</f>
        <v>LIJA AZUL NORTON T419 - N600</v>
      </c>
      <c r="C1643">
        <v>808.65</v>
      </c>
      <c r="D1643">
        <v>978.4665</v>
      </c>
    </row>
    <row r="1644" spans="1:4" x14ac:dyDescent="0.25">
      <c r="A1644" t="str">
        <f>"02638"</f>
        <v>02638</v>
      </c>
      <c r="B1644" t="str">
        <f>"LIJA AZUL NORTON T419 - N80"</f>
        <v>LIJA AZUL NORTON T419 - N80</v>
      </c>
      <c r="C1644">
        <v>808.65</v>
      </c>
      <c r="D1644">
        <v>978.4665</v>
      </c>
    </row>
    <row r="1645" spans="1:4" x14ac:dyDescent="0.25">
      <c r="A1645" t="str">
        <f>"02639"</f>
        <v>02639</v>
      </c>
      <c r="B1645" t="str">
        <f>"LIJA AZUL NORTON T419 - N800"</f>
        <v>LIJA AZUL NORTON T419 - N800</v>
      </c>
      <c r="C1645">
        <v>808.65</v>
      </c>
      <c r="D1645">
        <v>978.4665</v>
      </c>
    </row>
    <row r="1646" spans="1:4" x14ac:dyDescent="0.25">
      <c r="A1646" t="str">
        <f>"02640"</f>
        <v>02640</v>
      </c>
      <c r="B1646" t="str">
        <f>"LIJA AZUL T499 N 1200 - NORTON"</f>
        <v>LIJA AZUL T499 N 1200 - NORTON</v>
      </c>
      <c r="C1646">
        <v>964.29</v>
      </c>
      <c r="D1646">
        <v>1166.7909</v>
      </c>
    </row>
    <row r="1647" spans="1:4" x14ac:dyDescent="0.25">
      <c r="A1647" t="str">
        <f>"02641"</f>
        <v>02641</v>
      </c>
      <c r="B1647" t="str">
        <f>"LIJA AZUL T499 N 1500 - NORTON"</f>
        <v>LIJA AZUL T499 N 1500 - NORTON</v>
      </c>
      <c r="C1647">
        <v>1317.28</v>
      </c>
      <c r="D1647">
        <v>1593.9087999999999</v>
      </c>
    </row>
    <row r="1648" spans="1:4" x14ac:dyDescent="0.25">
      <c r="A1648" t="str">
        <f>"02642"</f>
        <v>02642</v>
      </c>
      <c r="B1648" t="str">
        <f>"LIJA AZUL T499 N 2000 - NORTON"</f>
        <v>LIJA AZUL T499 N 2000 - NORTON</v>
      </c>
      <c r="C1648">
        <v>1317.28</v>
      </c>
      <c r="D1648">
        <v>1593.9087999999999</v>
      </c>
    </row>
    <row r="1649" spans="1:4" x14ac:dyDescent="0.25">
      <c r="A1649" t="str">
        <f>"02643"</f>
        <v>02643</v>
      </c>
      <c r="B1649" t="str">
        <f>"LIJA AZUL T499 N 2500 - NORTON"</f>
        <v>LIJA AZUL T499 N 2500 - NORTON</v>
      </c>
      <c r="C1649">
        <v>1317.28</v>
      </c>
      <c r="D1649">
        <v>1593.9087999999999</v>
      </c>
    </row>
    <row r="1650" spans="1:4" x14ac:dyDescent="0.25">
      <c r="A1650" t="str">
        <f>"02644"</f>
        <v>02644</v>
      </c>
      <c r="B1650" t="str">
        <f>"LIJA AZUL T499 N1000 - NORTON"</f>
        <v>LIJA AZUL T499 N1000 - NORTON</v>
      </c>
      <c r="C1650">
        <v>964.29</v>
      </c>
      <c r="D1650">
        <v>1166.7909</v>
      </c>
    </row>
    <row r="1651" spans="1:4" x14ac:dyDescent="0.25">
      <c r="A1651" t="str">
        <f>"02645"</f>
        <v>02645</v>
      </c>
      <c r="B1651" t="str">
        <f>"LIJA DISCO A275 N120 - NORTON"</f>
        <v>LIJA DISCO A275 N120 - NORTON</v>
      </c>
      <c r="C1651">
        <v>1141.24</v>
      </c>
      <c r="D1651">
        <v>1380.9004</v>
      </c>
    </row>
    <row r="1652" spans="1:4" x14ac:dyDescent="0.25">
      <c r="A1652" t="str">
        <f>"02646"</f>
        <v>02646</v>
      </c>
      <c r="B1652" t="str">
        <f>"LIJA DISCO A275 N150 - NORTON"</f>
        <v>LIJA DISCO A275 N150 - NORTON</v>
      </c>
      <c r="C1652">
        <v>1141.24</v>
      </c>
      <c r="D1652">
        <v>1380.9004</v>
      </c>
    </row>
    <row r="1653" spans="1:4" x14ac:dyDescent="0.25">
      <c r="A1653" t="str">
        <f>"02647"</f>
        <v>02647</v>
      </c>
      <c r="B1653" t="str">
        <f>"LIJA DISCO A275 N180 - NORTON"</f>
        <v>LIJA DISCO A275 N180 - NORTON</v>
      </c>
      <c r="C1653">
        <v>1141.24</v>
      </c>
      <c r="D1653">
        <v>1380.9004</v>
      </c>
    </row>
    <row r="1654" spans="1:4" x14ac:dyDescent="0.25">
      <c r="A1654" t="str">
        <f>"02648"</f>
        <v>02648</v>
      </c>
      <c r="B1654" t="str">
        <f>"LIJA DISCO A275 N220 - NORTON"</f>
        <v>LIJA DISCO A275 N220 - NORTON</v>
      </c>
      <c r="C1654">
        <v>1141.24</v>
      </c>
      <c r="D1654">
        <v>1380.9004</v>
      </c>
    </row>
    <row r="1655" spans="1:4" x14ac:dyDescent="0.25">
      <c r="A1655" t="str">
        <f>"02649"</f>
        <v>02649</v>
      </c>
      <c r="B1655" t="str">
        <f>"LIJA DISCO A275 N240 - NORTON"</f>
        <v>LIJA DISCO A275 N240 - NORTON</v>
      </c>
      <c r="C1655">
        <v>1141.24</v>
      </c>
      <c r="D1655">
        <v>1380.9004</v>
      </c>
    </row>
    <row r="1656" spans="1:4" x14ac:dyDescent="0.25">
      <c r="A1656" t="str">
        <f>"02650"</f>
        <v>02650</v>
      </c>
      <c r="B1656" t="str">
        <f>"LIJA DISCO A275 N320 - NORTON"</f>
        <v>LIJA DISCO A275 N320 - NORTON</v>
      </c>
      <c r="C1656">
        <v>1141.24</v>
      </c>
      <c r="D1656">
        <v>1380.9004</v>
      </c>
    </row>
    <row r="1657" spans="1:4" x14ac:dyDescent="0.25">
      <c r="A1657" t="str">
        <f>"02651"</f>
        <v>02651</v>
      </c>
      <c r="B1657" t="str">
        <f>"LIJA DISCO A275 N400 - NORTON"</f>
        <v>LIJA DISCO A275 N400 - NORTON</v>
      </c>
      <c r="C1657">
        <v>1141.24</v>
      </c>
      <c r="D1657">
        <v>1380.9004</v>
      </c>
    </row>
    <row r="1658" spans="1:4" x14ac:dyDescent="0.25">
      <c r="A1658" t="str">
        <f>"02652"</f>
        <v>02652</v>
      </c>
      <c r="B1658" t="str">
        <f>"LIJA DISCO A275 N600 - NORTON"</f>
        <v>LIJA DISCO A275 N600 - NORTON</v>
      </c>
      <c r="C1658">
        <v>1141.24</v>
      </c>
      <c r="D1658">
        <v>1380.9004</v>
      </c>
    </row>
    <row r="1659" spans="1:4" x14ac:dyDescent="0.25">
      <c r="A1659" t="str">
        <f>"02653"</f>
        <v>02653</v>
      </c>
      <c r="B1659" t="str">
        <f>"LIJA DISCO A275 N80 - NORTON"</f>
        <v>LIJA DISCO A275 N80 - NORTON</v>
      </c>
      <c r="C1659">
        <v>1141.24</v>
      </c>
      <c r="D1659">
        <v>1380.9004</v>
      </c>
    </row>
    <row r="1660" spans="1:4" x14ac:dyDescent="0.25">
      <c r="A1660" t="str">
        <f>"02654"</f>
        <v>02654</v>
      </c>
      <c r="B1660" t="str">
        <f>"LIJA DISCO A275 N800 - NORTON"</f>
        <v>LIJA DISCO A275 N800 - NORTON</v>
      </c>
      <c r="C1660">
        <v>1141.24</v>
      </c>
      <c r="D1660">
        <v>1380.9004</v>
      </c>
    </row>
    <row r="1661" spans="1:4" x14ac:dyDescent="0.25">
      <c r="A1661" t="str">
        <f>"02655"</f>
        <v>02655</v>
      </c>
      <c r="B1661" t="str">
        <f>"LIJA ROLLO NORTON N120 -COD 31689  NORTON"</f>
        <v>LIJA ROLLO NORTON N120 -COD 31689  NORTON</v>
      </c>
      <c r="C1661">
        <v>66596.67</v>
      </c>
      <c r="D1661">
        <v>80581.970699999991</v>
      </c>
    </row>
    <row r="1662" spans="1:4" x14ac:dyDescent="0.25">
      <c r="A1662" t="str">
        <f>"02656"</f>
        <v>02656</v>
      </c>
      <c r="B1662" t="str">
        <f>"LIJA ROLLO NORTON N150 -COD 31688  NORTON"</f>
        <v>LIJA ROLLO NORTON N150 -COD 31688  NORTON</v>
      </c>
      <c r="C1662">
        <v>81396.759999999995</v>
      </c>
      <c r="D1662">
        <v>98490.079599999997</v>
      </c>
    </row>
    <row r="1663" spans="1:4" x14ac:dyDescent="0.25">
      <c r="A1663" t="str">
        <f>"02657"</f>
        <v>02657</v>
      </c>
      <c r="B1663" t="str">
        <f>"LIJA ROLLO NORTON N180 -COD 31687  NORTON"</f>
        <v>LIJA ROLLO NORTON N180 -COD 31687  NORTON</v>
      </c>
      <c r="C1663">
        <v>81396.759999999995</v>
      </c>
      <c r="D1663">
        <v>98490.079599999997</v>
      </c>
    </row>
    <row r="1664" spans="1:4" x14ac:dyDescent="0.25">
      <c r="A1664" t="str">
        <f>"02658"</f>
        <v>02658</v>
      </c>
      <c r="B1664" t="str">
        <f>"LIJA ROLLO NORTON N80 -COD 31691  NORTON"</f>
        <v>LIJA ROLLO NORTON N80 -COD 31691  NORTON</v>
      </c>
      <c r="C1664">
        <v>59200.22</v>
      </c>
      <c r="D1664">
        <v>71632.266199999998</v>
      </c>
    </row>
    <row r="1665" spans="1:4" x14ac:dyDescent="0.25">
      <c r="A1665" t="str">
        <f>"02659"</f>
        <v>02659</v>
      </c>
      <c r="B1665" t="str">
        <f>"PASTA DE PULIR N2 - NORTON"</f>
        <v>PASTA DE PULIR N2 - NORTON</v>
      </c>
      <c r="C1665">
        <v>19460.099999999999</v>
      </c>
      <c r="D1665">
        <v>23546.720999999998</v>
      </c>
    </row>
    <row r="1666" spans="1:4" x14ac:dyDescent="0.25">
      <c r="A1666" t="str">
        <f>"02660"</f>
        <v>02660</v>
      </c>
      <c r="B1666" t="str">
        <f>"TACO MULTI AIR 70X400MM - NORTON"</f>
        <v>TACO MULTI AIR 70X400MM - NORTON</v>
      </c>
      <c r="C1666">
        <v>223602.12</v>
      </c>
      <c r="D1666">
        <v>270558.56520000001</v>
      </c>
    </row>
    <row r="1667" spans="1:4" x14ac:dyDescent="0.25">
      <c r="A1667" t="str">
        <f>"02661"</f>
        <v>02661</v>
      </c>
      <c r="B1667" t="str">
        <f>"TACO MULTI AIR 70X198 MM - NORTON"</f>
        <v>TACO MULTI AIR 70X198 MM - NORTON</v>
      </c>
      <c r="C1667">
        <v>120634.46</v>
      </c>
      <c r="D1667">
        <v>145967.6966</v>
      </c>
    </row>
    <row r="1668" spans="1:4" x14ac:dyDescent="0.25">
      <c r="A1668" t="str">
        <f>"02662"</f>
        <v>02662</v>
      </c>
      <c r="B1668" t="str">
        <f>"ACIDO LIMPIADOR MULTI ACCION X 1L - MERCLIN"</f>
        <v>ACIDO LIMPIADOR MULTI ACCION X 1L - MERCLIN</v>
      </c>
      <c r="C1668">
        <v>5380.7</v>
      </c>
      <c r="D1668">
        <v>6510.6469999999999</v>
      </c>
    </row>
    <row r="1669" spans="1:4" x14ac:dyDescent="0.25">
      <c r="A1669" t="str">
        <f>"02663"</f>
        <v>02663</v>
      </c>
      <c r="B1669" t="str">
        <f>"ACIDO LIMPIADOR MULTI ACCION X 5L - MERCLIN"</f>
        <v>ACIDO LIMPIADOR MULTI ACCION X 5L - MERCLIN</v>
      </c>
      <c r="C1669">
        <v>17264.55</v>
      </c>
      <c r="D1669">
        <v>20890.105499999998</v>
      </c>
    </row>
    <row r="1670" spans="1:4" x14ac:dyDescent="0.25">
      <c r="A1670" t="str">
        <f>"02666"</f>
        <v>02666</v>
      </c>
      <c r="B1670" t="str">
        <f>"DESTAPA CAÑERIA GEL  X 1L - MERCLIN"</f>
        <v>DESTAPA CAÑERIA GEL  X 1L - MERCLIN</v>
      </c>
      <c r="C1670">
        <v>5379.53</v>
      </c>
      <c r="D1670">
        <v>6509.2312999999995</v>
      </c>
    </row>
    <row r="1671" spans="1:4" x14ac:dyDescent="0.25">
      <c r="A1671" t="str">
        <f>"02667"</f>
        <v>02667</v>
      </c>
      <c r="B1671" t="str">
        <f>"GEL ANTI SALITRE X 1L - MERCLIN"</f>
        <v>GEL ANTI SALITRE X 1L - MERCLIN</v>
      </c>
      <c r="C1671">
        <v>7769.72</v>
      </c>
      <c r="D1671">
        <v>9401.3611999999994</v>
      </c>
    </row>
    <row r="1672" spans="1:4" x14ac:dyDescent="0.25">
      <c r="A1672" t="str">
        <f>"02668"</f>
        <v>02668</v>
      </c>
      <c r="B1672" t="str">
        <f>"LIQUITECH BORDES Y PISOS ATERMICOS X 4L ARENA - MERCLIN"</f>
        <v>LIQUITECH BORDES Y PISOS ATERMICOS X 4L ARENA - MERCLIN</v>
      </c>
      <c r="C1672">
        <v>53242.43</v>
      </c>
      <c r="D1672">
        <v>64423.340299999996</v>
      </c>
    </row>
    <row r="1673" spans="1:4" x14ac:dyDescent="0.25">
      <c r="A1673" t="str">
        <f>"02669"</f>
        <v>02669</v>
      </c>
      <c r="B1673" t="str">
        <f>"LIQUITECH BORDES Y PISOS ATERMICOS X 5L TRANSPARENTE - MERCLIN"</f>
        <v>LIQUITECH BORDES Y PISOS ATERMICOS X 5L TRANSPARENTE - MERCLIN</v>
      </c>
      <c r="C1673">
        <v>34581.51</v>
      </c>
      <c r="D1673">
        <v>41843.627099999998</v>
      </c>
    </row>
    <row r="1674" spans="1:4" x14ac:dyDescent="0.25">
      <c r="A1674" t="str">
        <f>"02670"</f>
        <v>02670</v>
      </c>
      <c r="B1674" t="str">
        <f>"LIQUITECH CAUCHOGOMA IMPERMEABILIZANTE X 20L GRIS - MERCLIN"</f>
        <v>LIQUITECH CAUCHOGOMA IMPERMEABILIZANTE X 20L GRIS - MERCLIN</v>
      </c>
      <c r="C1674">
        <v>128158.72</v>
      </c>
      <c r="D1674">
        <v>155072.05119999999</v>
      </c>
    </row>
    <row r="1675" spans="1:4" x14ac:dyDescent="0.25">
      <c r="A1675" t="str">
        <f>"02671"</f>
        <v>02671</v>
      </c>
      <c r="B1675" t="str">
        <f>"LIQUITECH CAUCHOGOMA IMPERMEABILIZANTE X 4L GRIS - MERCLIN"</f>
        <v>LIQUITECH CAUCHOGOMA IMPERMEABILIZANTE X 4L GRIS - MERCLIN</v>
      </c>
      <c r="C1675">
        <v>34921.56</v>
      </c>
      <c r="D1675">
        <v>42255.087599999999</v>
      </c>
    </row>
    <row r="1676" spans="1:4" x14ac:dyDescent="0.25">
      <c r="A1676" t="str">
        <f>"02672"</f>
        <v>02672</v>
      </c>
      <c r="B1676" t="str">
        <f>"LIQUITECH CAUCHOGOMA SELLADOR ELASTOMERICO X 1 L - MERCLIN"</f>
        <v>LIQUITECH CAUCHOGOMA SELLADOR ELASTOMERICO X 1 L - MERCLIN</v>
      </c>
      <c r="C1676">
        <v>12088.23</v>
      </c>
      <c r="D1676">
        <v>14626.7583</v>
      </c>
    </row>
    <row r="1677" spans="1:4" x14ac:dyDescent="0.25">
      <c r="A1677" t="str">
        <f>"02673"</f>
        <v>02673</v>
      </c>
      <c r="B1677" t="str">
        <f>"LIQUITECH CAUCHOGOMA SELLADOR ELASTOMERICO X 5 L - MERCLIN"</f>
        <v>LIQUITECH CAUCHOGOMA SELLADOR ELASTOMERICO X 5 L - MERCLIN</v>
      </c>
      <c r="C1677">
        <v>42980.38</v>
      </c>
      <c r="D1677">
        <v>52006.259799999993</v>
      </c>
    </row>
    <row r="1678" spans="1:4" x14ac:dyDescent="0.25">
      <c r="A1678" t="str">
        <f>"02674"</f>
        <v>02674</v>
      </c>
      <c r="B1678" t="str">
        <f>"LIQUITECH IMPERMEABILIZANTE PARA LADRILLO NATURAL X 1L - MERCLIN"</f>
        <v>LIQUITECH IMPERMEABILIZANTE PARA LADRILLO NATURAL X 1L - MERCLIN</v>
      </c>
      <c r="C1678">
        <v>8501.17</v>
      </c>
      <c r="D1678">
        <v>10286.4157</v>
      </c>
    </row>
    <row r="1679" spans="1:4" x14ac:dyDescent="0.25">
      <c r="A1679" t="str">
        <f>"02675"</f>
        <v>02675</v>
      </c>
      <c r="B1679" t="str">
        <f>"LIQUITECH IMPERMEABILIZANTE PARA LADRILLO NATURAL X 20L - MERCLIN"</f>
        <v>LIQUITECH IMPERMEABILIZANTE PARA LADRILLO NATURAL X 20L - MERCLIN</v>
      </c>
      <c r="C1679">
        <v>110651.12</v>
      </c>
      <c r="D1679">
        <v>133887.85519999999</v>
      </c>
    </row>
    <row r="1680" spans="1:4" x14ac:dyDescent="0.25">
      <c r="A1680" t="str">
        <f>"02676"</f>
        <v>02676</v>
      </c>
      <c r="B1680" t="str">
        <f>"LIQUITECH IMPERMEABILIZANTE PARA LADRILLO NATURAL X 4L - MERCLIN"</f>
        <v>LIQUITECH IMPERMEABILIZANTE PARA LADRILLO NATURAL X 4L - MERCLIN</v>
      </c>
      <c r="C1680">
        <v>29504.09</v>
      </c>
      <c r="D1680">
        <v>35699.948899999996</v>
      </c>
    </row>
    <row r="1681" spans="1:4" x14ac:dyDescent="0.25">
      <c r="A1681" t="str">
        <f>"02677"</f>
        <v>02677</v>
      </c>
      <c r="B1681" t="str">
        <f>"LIQUITECH IMPERMEABILIZANTE PARA LADRILLO ROJO X 1L - MERCLIN"</f>
        <v>LIQUITECH IMPERMEABILIZANTE PARA LADRILLO ROJO X 1L - MERCLIN</v>
      </c>
      <c r="C1681">
        <v>8501.17</v>
      </c>
      <c r="D1681">
        <v>10286.4157</v>
      </c>
    </row>
    <row r="1682" spans="1:4" x14ac:dyDescent="0.25">
      <c r="A1682" t="str">
        <f>"02678"</f>
        <v>02678</v>
      </c>
      <c r="B1682" t="str">
        <f>"LIQUITECH IMPERMEABILIZANTE PARA LADRILLO ROJO X 20L - MERCLIN"</f>
        <v>LIQUITECH IMPERMEABILIZANTE PARA LADRILLO ROJO X 20L - MERCLIN</v>
      </c>
      <c r="C1682">
        <v>110651.12</v>
      </c>
      <c r="D1682">
        <v>133887.85519999999</v>
      </c>
    </row>
    <row r="1683" spans="1:4" x14ac:dyDescent="0.25">
      <c r="A1683" t="str">
        <f>"02679"</f>
        <v>02679</v>
      </c>
      <c r="B1683" t="str">
        <f>"LIQUITECH IMPERMEABILIZANTE PARA LADRILLOS ROJO X 4L - MERCLIN"</f>
        <v>LIQUITECH IMPERMEABILIZANTE PARA LADRILLOS ROJO X 4L - MERCLIN</v>
      </c>
      <c r="C1683">
        <v>29504.09</v>
      </c>
      <c r="D1683">
        <v>35699.948899999996</v>
      </c>
    </row>
    <row r="1684" spans="1:4" x14ac:dyDescent="0.25">
      <c r="A1684" t="str">
        <f>"02680"</f>
        <v>02680</v>
      </c>
      <c r="B1684" t="str">
        <f>"LIQUITECH INT PREMIUM DESIGN X 1L AZUL CHICAGO - MERCLIN"</f>
        <v>LIQUITECH INT PREMIUM DESIGN X 1L AZUL CHICAGO - MERCLIN</v>
      </c>
      <c r="C1684">
        <v>10798.28</v>
      </c>
      <c r="D1684">
        <v>13065.918800000001</v>
      </c>
    </row>
    <row r="1685" spans="1:4" x14ac:dyDescent="0.25">
      <c r="A1685" t="str">
        <f>"02681"</f>
        <v>02681</v>
      </c>
      <c r="B1685" t="str">
        <f>"LIQUITECH INT PREMIUM DESIGN X 1L AZUL TULUM - MERCLIN"</f>
        <v>LIQUITECH INT PREMIUM DESIGN X 1L AZUL TULUM - MERCLIN</v>
      </c>
      <c r="C1685">
        <v>10798.28</v>
      </c>
      <c r="D1685">
        <v>13065.918800000001</v>
      </c>
    </row>
    <row r="1686" spans="1:4" x14ac:dyDescent="0.25">
      <c r="A1686" t="str">
        <f>"02682"</f>
        <v>02682</v>
      </c>
      <c r="B1686" t="str">
        <f>"LIQUITECH INT PREMIUM DESIGN X 1L GREIGE MILAN - MERCLIN"</f>
        <v>LIQUITECH INT PREMIUM DESIGN X 1L GREIGE MILAN - MERCLIN</v>
      </c>
      <c r="C1686">
        <v>10798.28</v>
      </c>
      <c r="D1686">
        <v>13065.918800000001</v>
      </c>
    </row>
    <row r="1687" spans="1:4" x14ac:dyDescent="0.25">
      <c r="A1687" t="str">
        <f>"02683"</f>
        <v>02683</v>
      </c>
      <c r="B1687" t="str">
        <f>"LIQUITECH INT PREMIUM DESIGN X 1L GREIGE PRAGA - MERCLIN"</f>
        <v>LIQUITECH INT PREMIUM DESIGN X 1L GREIGE PRAGA - MERCLIN</v>
      </c>
      <c r="C1687">
        <v>10798.28</v>
      </c>
      <c r="D1687">
        <v>13065.918800000001</v>
      </c>
    </row>
    <row r="1688" spans="1:4" x14ac:dyDescent="0.25">
      <c r="A1688" t="str">
        <f>"02684"</f>
        <v>02684</v>
      </c>
      <c r="B1688" t="str">
        <f>"LIQUITECH INT PREMIUM DESIGN X 1L GRIS ATENAS - MERCLIN"</f>
        <v>LIQUITECH INT PREMIUM DESIGN X 1L GRIS ATENAS - MERCLIN</v>
      </c>
      <c r="C1688">
        <v>10798.28</v>
      </c>
      <c r="D1688">
        <v>13065.918800000001</v>
      </c>
    </row>
    <row r="1689" spans="1:4" x14ac:dyDescent="0.25">
      <c r="A1689" t="str">
        <f>"02686"</f>
        <v>02686</v>
      </c>
      <c r="B1689" t="str">
        <f>"LIQUITECH INT PREMIUM DESIGN X 1L GRIS OSLO - MERCLIN"</f>
        <v>LIQUITECH INT PREMIUM DESIGN X 1L GRIS OSLO - MERCLIN</v>
      </c>
      <c r="C1689">
        <v>10798.28</v>
      </c>
      <c r="D1689">
        <v>13065.918800000001</v>
      </c>
    </row>
    <row r="1690" spans="1:4" x14ac:dyDescent="0.25">
      <c r="A1690" t="str">
        <f>"02687"</f>
        <v>02687</v>
      </c>
      <c r="B1690" t="str">
        <f>"LIQUITECH INT PREMIUM DESIGN X 1L GRIS QUEBEC - MERCLIN"</f>
        <v>LIQUITECH INT PREMIUM DESIGN X 1L GRIS QUEBEC - MERCLIN</v>
      </c>
      <c r="C1690">
        <v>10798.28</v>
      </c>
      <c r="D1690">
        <v>13065.918800000001</v>
      </c>
    </row>
    <row r="1691" spans="1:4" x14ac:dyDescent="0.25">
      <c r="A1691" t="str">
        <f>"02688"</f>
        <v>02688</v>
      </c>
      <c r="B1691" t="str">
        <f>"LIQUITECH INT PREMIUM DESIGN X 1L VERDE DUBLIN - MERCLIN"</f>
        <v>LIQUITECH INT PREMIUM DESIGN X 1L VERDE DUBLIN - MERCLIN</v>
      </c>
      <c r="C1691">
        <v>10798.28</v>
      </c>
      <c r="D1691">
        <v>13065.918800000001</v>
      </c>
    </row>
    <row r="1692" spans="1:4" x14ac:dyDescent="0.25">
      <c r="A1692" t="str">
        <f>"02698"</f>
        <v>02698</v>
      </c>
      <c r="B1692" t="str">
        <f>"LIQUITECH INT PREMIUM DESIGN X 4L AZUL CHICAGO - MERCLIN"</f>
        <v>LIQUITECH INT PREMIUM DESIGN X 4L AZUL CHICAGO - MERCLIN</v>
      </c>
      <c r="C1692">
        <v>37300.71</v>
      </c>
      <c r="D1692">
        <v>45133.859099999994</v>
      </c>
    </row>
    <row r="1693" spans="1:4" x14ac:dyDescent="0.25">
      <c r="A1693" t="str">
        <f>"02699"</f>
        <v>02699</v>
      </c>
      <c r="B1693" t="str">
        <f>"LIQUITECH INT PREMIUM DESIGN X 4L AZUL TULUM - MERCLIN"</f>
        <v>LIQUITECH INT PREMIUM DESIGN X 4L AZUL TULUM - MERCLIN</v>
      </c>
      <c r="C1693">
        <v>37300.71</v>
      </c>
      <c r="D1693">
        <v>45133.859099999994</v>
      </c>
    </row>
    <row r="1694" spans="1:4" x14ac:dyDescent="0.25">
      <c r="A1694" t="str">
        <f>"02700"</f>
        <v>02700</v>
      </c>
      <c r="B1694" t="str">
        <f>"LIQUITECH INT PREMIUM DESIGN X 4L GREIGE MILAN - MERCLIN"</f>
        <v>LIQUITECH INT PREMIUM DESIGN X 4L GREIGE MILAN - MERCLIN</v>
      </c>
      <c r="C1694">
        <v>37300.71</v>
      </c>
      <c r="D1694">
        <v>45133.859099999994</v>
      </c>
    </row>
    <row r="1695" spans="1:4" x14ac:dyDescent="0.25">
      <c r="A1695" t="str">
        <f>"02704"</f>
        <v>02704</v>
      </c>
      <c r="B1695" t="str">
        <f>"LIQUITECH INT PREMIUM DESIGN X 4L GRIS OSLO - MERCLIN"</f>
        <v>LIQUITECH INT PREMIUM DESIGN X 4L GRIS OSLO - MERCLIN</v>
      </c>
      <c r="C1695">
        <v>37300.71</v>
      </c>
      <c r="D1695">
        <v>45133.859099999994</v>
      </c>
    </row>
    <row r="1696" spans="1:4" x14ac:dyDescent="0.25">
      <c r="A1696" t="str">
        <f>"02705"</f>
        <v>02705</v>
      </c>
      <c r="B1696" t="str">
        <f>"LIQUITECH INT PREMIUM DESIGN X 4L GRIS QUEBEC - MERCLIN"</f>
        <v>LIQUITECH INT PREMIUM DESIGN X 4L GRIS QUEBEC - MERCLIN</v>
      </c>
      <c r="C1696">
        <v>37300.71</v>
      </c>
      <c r="D1696">
        <v>45133.859099999994</v>
      </c>
    </row>
    <row r="1697" spans="1:4" x14ac:dyDescent="0.25">
      <c r="A1697" t="str">
        <f>"02706"</f>
        <v>02706</v>
      </c>
      <c r="B1697" t="str">
        <f>"LIQUITECH INT PREMIUM DESIGN X 4L VERDE DUBLIN - MERCLIN"</f>
        <v>LIQUITECH INT PREMIUM DESIGN X 4L VERDE DUBLIN - MERCLIN</v>
      </c>
      <c r="C1697">
        <v>37300.71</v>
      </c>
      <c r="D1697">
        <v>45133.859099999994</v>
      </c>
    </row>
    <row r="1698" spans="1:4" x14ac:dyDescent="0.25">
      <c r="A1698" t="str">
        <f>"02707"</f>
        <v>02707</v>
      </c>
      <c r="B1698" t="str">
        <f>"LIQUITECH LATEX PREMIUN INT LAVABLE X 10L- MERCLIN"</f>
        <v>LIQUITECH LATEX PREMIUN INT LAVABLE X 10L- MERCLIN</v>
      </c>
      <c r="C1698">
        <v>55390.37</v>
      </c>
      <c r="D1698">
        <v>67022.347699999998</v>
      </c>
    </row>
    <row r="1699" spans="1:4" x14ac:dyDescent="0.25">
      <c r="A1699" t="str">
        <f>"02708"</f>
        <v>02708</v>
      </c>
      <c r="B1699" t="str">
        <f>"LIQUITECH LATEX PREMIUN INT LAVABLE X 20L- MERCLIN"</f>
        <v>LIQUITECH LATEX PREMIUN INT LAVABLE X 20L- MERCLIN</v>
      </c>
      <c r="C1699">
        <v>104209.26</v>
      </c>
      <c r="D1699">
        <v>126093.20459999998</v>
      </c>
    </row>
    <row r="1700" spans="1:4" x14ac:dyDescent="0.25">
      <c r="A1700" t="str">
        <f>"02712"</f>
        <v>02712</v>
      </c>
      <c r="B1700" t="str">
        <f>"LIQUITECH MEMBRANA AUTOADHESIVA 10CM X 10M - MERCLIN"</f>
        <v>LIQUITECH MEMBRANA AUTOADHESIVA 10CM X 10M - MERCLIN</v>
      </c>
      <c r="C1700">
        <v>16193.18</v>
      </c>
      <c r="D1700">
        <v>19593.747800000001</v>
      </c>
    </row>
    <row r="1701" spans="1:4" x14ac:dyDescent="0.25">
      <c r="A1701" t="str">
        <f>"02713"</f>
        <v>02713</v>
      </c>
      <c r="B1701" t="str">
        <f>"LIQUITECH MEMBRANA SELLATODO EN AEROSOL BLANCO X 440ML - MERCLIN"</f>
        <v>LIQUITECH MEMBRANA SELLATODO EN AEROSOL BLANCO X 440ML - MERCLIN</v>
      </c>
      <c r="C1701">
        <v>15977.66</v>
      </c>
      <c r="D1701">
        <v>19332.9686</v>
      </c>
    </row>
    <row r="1702" spans="1:4" x14ac:dyDescent="0.25">
      <c r="A1702" t="str">
        <f>"02714"</f>
        <v>02714</v>
      </c>
      <c r="B1702" t="str">
        <f>"LIQUITECH MEMBRANA POLIU. EN PASTA BLANCA X 10L - MERCLIN"</f>
        <v>LIQUITECH MEMBRANA POLIU. EN PASTA BLANCA X 10L - MERCLIN</v>
      </c>
      <c r="C1702">
        <v>65403.02</v>
      </c>
      <c r="D1702">
        <v>79137.65419999999</v>
      </c>
    </row>
    <row r="1703" spans="1:4" x14ac:dyDescent="0.25">
      <c r="A1703" t="str">
        <f>"02715"</f>
        <v>02715</v>
      </c>
      <c r="B1703" t="str">
        <f>"LIQUITECH MEMBRANA POLIU. EN PASTA BLANCA X 1L - MERCLIN"</f>
        <v>LIQUITECH MEMBRANA POLIU. EN PASTA BLANCA X 1L - MERCLIN</v>
      </c>
      <c r="C1703">
        <v>8071.34</v>
      </c>
      <c r="D1703">
        <v>9766.3214000000007</v>
      </c>
    </row>
    <row r="1704" spans="1:4" x14ac:dyDescent="0.25">
      <c r="A1704" t="str">
        <f>"02716"</f>
        <v>02716</v>
      </c>
      <c r="B1704" t="str">
        <f>"LIQUITECH MEMBRANA POLIU. EN PASTA BLANCA X 20L - MERCLIN"</f>
        <v>LIQUITECH MEMBRANA POLIU. EN PASTA BLANCA X 20L - MERCLIN</v>
      </c>
      <c r="C1704">
        <v>122846.84</v>
      </c>
      <c r="D1704">
        <v>148644.6764</v>
      </c>
    </row>
    <row r="1705" spans="1:4" x14ac:dyDescent="0.25">
      <c r="A1705" t="str">
        <f>"02717"</f>
        <v>02717</v>
      </c>
      <c r="B1705" t="str">
        <f>"LIQUITECH MEMBRANA POLIU. EN PASTA BLANCA X 5L - MERCLIN"</f>
        <v>LIQUITECH MEMBRANA POLIU. EN PASTA BLANCA X 5L - MERCLIN</v>
      </c>
      <c r="C1705">
        <v>34212.78</v>
      </c>
      <c r="D1705">
        <v>41397.463799999998</v>
      </c>
    </row>
    <row r="1706" spans="1:4" x14ac:dyDescent="0.25">
      <c r="A1706" t="str">
        <f>"02718"</f>
        <v>02718</v>
      </c>
      <c r="B1706" t="str">
        <f>"LIQUITECH MEMBRANA POLIU. EN PASTA GRIS X 20L - MERCLIN"</f>
        <v>LIQUITECH MEMBRANA POLIU. EN PASTA GRIS X 20L - MERCLIN</v>
      </c>
      <c r="C1706">
        <v>122846.84</v>
      </c>
      <c r="D1706">
        <v>148644.6764</v>
      </c>
    </row>
    <row r="1707" spans="1:4" x14ac:dyDescent="0.25">
      <c r="A1707" t="str">
        <f>"02719"</f>
        <v>02719</v>
      </c>
      <c r="B1707" t="str">
        <f>"LIQUITECH MEMBRANA POLIU. EN PASTA NEGRO X 10L - MERCLIN"</f>
        <v>LIQUITECH MEMBRANA POLIU. EN PASTA NEGRO X 10L - MERCLIN</v>
      </c>
      <c r="C1707">
        <v>65403.02</v>
      </c>
      <c r="D1707">
        <v>79137.65419999999</v>
      </c>
    </row>
    <row r="1708" spans="1:4" x14ac:dyDescent="0.25">
      <c r="A1708" t="str">
        <f>"02720"</f>
        <v>02720</v>
      </c>
      <c r="B1708" t="str">
        <f>"LIQUITECH MEMBRANA POLIU. EN PASTA NEGRO X 20L - MERCLIN"</f>
        <v>LIQUITECH MEMBRANA POLIU. EN PASTA NEGRO X 20L - MERCLIN</v>
      </c>
      <c r="C1708">
        <v>122846.84</v>
      </c>
      <c r="D1708">
        <v>148644.6764</v>
      </c>
    </row>
    <row r="1709" spans="1:4" x14ac:dyDescent="0.25">
      <c r="A1709" t="str">
        <f>"02721"</f>
        <v>02721</v>
      </c>
      <c r="B1709" t="str">
        <f>"LIQUITECH MEMBRANA POLIU. EN PASTA ROJO X 20L - MERCLIN"</f>
        <v>LIQUITECH MEMBRANA POLIU. EN PASTA ROJO X 20L - MERCLIN</v>
      </c>
      <c r="C1709">
        <v>122846.84</v>
      </c>
      <c r="D1709">
        <v>148644.6764</v>
      </c>
    </row>
    <row r="1710" spans="1:4" x14ac:dyDescent="0.25">
      <c r="A1710" t="str">
        <f>"02722"</f>
        <v>02722</v>
      </c>
      <c r="B1710" t="str">
        <f>"LIQUITECH MEMBRANA POLIU. EN PASTA VERDE X 10L - MERCLIN"</f>
        <v>LIQUITECH MEMBRANA POLIU. EN PASTA VERDE X 10L - MERCLIN</v>
      </c>
      <c r="C1710">
        <v>65403.02</v>
      </c>
      <c r="D1710">
        <v>79137.65419999999</v>
      </c>
    </row>
    <row r="1711" spans="1:4" x14ac:dyDescent="0.25">
      <c r="A1711" t="str">
        <f>"02723"</f>
        <v>02723</v>
      </c>
      <c r="B1711" t="str">
        <f>"LIQUITECH MEMBRANA POLIU. EN PASTA VERDE X 20L - MERCLIN"</f>
        <v>LIQUITECH MEMBRANA POLIU. EN PASTA VERDE X 20L - MERCLIN</v>
      </c>
      <c r="C1711">
        <v>122846.84</v>
      </c>
      <c r="D1711">
        <v>148644.6764</v>
      </c>
    </row>
    <row r="1712" spans="1:4" x14ac:dyDescent="0.25">
      <c r="A1712" t="str">
        <f>"02724"</f>
        <v>02724</v>
      </c>
      <c r="B1712" t="str">
        <f>"LIQUITECH MEMBRANA POLIU.EN PASTA NEGRO X 5L - MERCLIN"</f>
        <v>LIQUITECH MEMBRANA POLIU.EN PASTA NEGRO X 5L - MERCLIN</v>
      </c>
      <c r="C1712">
        <v>34212.78</v>
      </c>
      <c r="D1712">
        <v>41397.463799999998</v>
      </c>
    </row>
    <row r="1713" spans="1:4" x14ac:dyDescent="0.25">
      <c r="A1713" t="str">
        <f>"02725"</f>
        <v>02725</v>
      </c>
      <c r="B1713" t="str">
        <f>"LIQUITECH POLIURETANO KIT PARA PILETA DE FIBRA X 5L-MERCLIN"</f>
        <v>LIQUITECH POLIURETANO KIT PARA PILETA DE FIBRA X 5L-MERCLIN</v>
      </c>
      <c r="C1713">
        <v>333830.53000000003</v>
      </c>
      <c r="D1713">
        <v>403934.94130000001</v>
      </c>
    </row>
    <row r="1714" spans="1:4" x14ac:dyDescent="0.25">
      <c r="A1714" t="str">
        <f>"02726"</f>
        <v>02726</v>
      </c>
      <c r="B1714" t="str">
        <f>"LIQUITECH POLIURETANO KIT PARA PILETA FIBRA X 1,25L - MERCLIN"</f>
        <v>LIQUITECH POLIURETANO KIT PARA PILETA FIBRA X 1,25L - MERCLIN</v>
      </c>
      <c r="C1714">
        <v>71464.34</v>
      </c>
      <c r="D1714">
        <v>86471.8514</v>
      </c>
    </row>
    <row r="1715" spans="1:4" x14ac:dyDescent="0.25">
      <c r="A1715" t="str">
        <f>"02727"</f>
        <v>02727</v>
      </c>
      <c r="B1715" t="str">
        <f>"LIQUITECH TAPA GOTERAS X 1L - MERCLIN"</f>
        <v>LIQUITECH TAPA GOTERAS X 1L - MERCLIN</v>
      </c>
      <c r="C1715">
        <v>6826.66</v>
      </c>
      <c r="D1715">
        <v>8260.2585999999992</v>
      </c>
    </row>
    <row r="1716" spans="1:4" x14ac:dyDescent="0.25">
      <c r="A1716" t="str">
        <f>"02728"</f>
        <v>02728</v>
      </c>
      <c r="B1716" t="str">
        <f>"OBRATECH MEMBRANA EN PASTA BLANCA X 20KL- MERCLIN"</f>
        <v>OBRATECH MEMBRANA EN PASTA BLANCA X 20KL- MERCLIN</v>
      </c>
      <c r="C1716">
        <v>74750.37</v>
      </c>
      <c r="D1716">
        <v>90447.94769999999</v>
      </c>
    </row>
    <row r="1717" spans="1:4" x14ac:dyDescent="0.25">
      <c r="A1717" t="str">
        <f>"02729"</f>
        <v>02729</v>
      </c>
      <c r="B1717" t="str">
        <f>"OBRATECH MEMBRANA EN PASTA ROJA X 20KL- MERCLIN"</f>
        <v>OBRATECH MEMBRANA EN PASTA ROJA X 20KL- MERCLIN</v>
      </c>
      <c r="C1717">
        <v>74750.37</v>
      </c>
      <c r="D1717">
        <v>90447.94769999999</v>
      </c>
    </row>
    <row r="1718" spans="1:4" x14ac:dyDescent="0.25">
      <c r="A1718" t="str">
        <f>"02730"</f>
        <v>02730</v>
      </c>
      <c r="B1718" t="str">
        <f>"PISCINAS DE FIBRA LIQUITECH BASE AGUA CELESTE ARUBA X 4L - MERCLIN"</f>
        <v>PISCINAS DE FIBRA LIQUITECH BASE AGUA CELESTE ARUBA X 4L - MERCLIN</v>
      </c>
      <c r="C1718">
        <v>54092.7</v>
      </c>
      <c r="D1718">
        <v>65452.166999999994</v>
      </c>
    </row>
    <row r="1719" spans="1:4" x14ac:dyDescent="0.25">
      <c r="A1719" t="str">
        <f>"02731"</f>
        <v>02731</v>
      </c>
      <c r="B1719" t="str">
        <f>"PISCINAS MEMBRANA LIQUITECH AQUA MARINA X 20L - MERCLIN"</f>
        <v>PISCINAS MEMBRANA LIQUITECH AQUA MARINA X 20L - MERCLIN</v>
      </c>
      <c r="C1719">
        <v>233054.16</v>
      </c>
      <c r="D1719">
        <v>281995.53360000002</v>
      </c>
    </row>
    <row r="1720" spans="1:4" x14ac:dyDescent="0.25">
      <c r="A1720" t="str">
        <f>"02732"</f>
        <v>02732</v>
      </c>
      <c r="B1720" t="str">
        <f>"PISCINAS MEMBRANA LIQUITECH AZUL CARIBE X 20L - MERCLIN"</f>
        <v>PISCINAS MEMBRANA LIQUITECH AZUL CARIBE X 20L - MERCLIN</v>
      </c>
      <c r="C1720">
        <v>233054.16</v>
      </c>
      <c r="D1720">
        <v>281995.53360000002</v>
      </c>
    </row>
    <row r="1721" spans="1:4" x14ac:dyDescent="0.25">
      <c r="A1721" t="str">
        <f>"02733"</f>
        <v>02733</v>
      </c>
      <c r="B1721" t="str">
        <f>"PISCINAS MEMBRANA LIQUITECH BLANCO X 20L - MERCLIN"</f>
        <v>PISCINAS MEMBRANA LIQUITECH BLANCO X 20L - MERCLIN</v>
      </c>
      <c r="C1721">
        <v>233054.16</v>
      </c>
      <c r="D1721">
        <v>281995.53360000002</v>
      </c>
    </row>
    <row r="1722" spans="1:4" x14ac:dyDescent="0.25">
      <c r="A1722" t="str">
        <f>"02734"</f>
        <v>02734</v>
      </c>
      <c r="B1722" t="str">
        <f>"PISCINAS MEMBRANA LIQUITECH X 10L AZUL CARIBE - MERCLIN"</f>
        <v>PISCINAS MEMBRANA LIQUITECH X 10L AZUL CARIBE - MERCLIN</v>
      </c>
      <c r="C1722">
        <v>124702.21</v>
      </c>
      <c r="D1722">
        <v>150889.6741</v>
      </c>
    </row>
    <row r="1723" spans="1:4" x14ac:dyDescent="0.25">
      <c r="A1723" t="str">
        <f>"02735"</f>
        <v>02735</v>
      </c>
      <c r="B1723" t="str">
        <f>"PISCINAS MEMBRANA LIQUITECH X 10L BLANCA - MERCLIN"</f>
        <v>PISCINAS MEMBRANA LIQUITECH X 10L BLANCA - MERCLIN</v>
      </c>
      <c r="C1723">
        <v>124702.21</v>
      </c>
      <c r="D1723">
        <v>150889.6741</v>
      </c>
    </row>
    <row r="1724" spans="1:4" x14ac:dyDescent="0.25">
      <c r="A1724" t="str">
        <f>"02736"</f>
        <v>02736</v>
      </c>
      <c r="B1724" t="str">
        <f>"PISCINAS MEMBRANA LIQUITECH X 4L AZUL CARIBE - MERCLIN"</f>
        <v>PISCINAS MEMBRANA LIQUITECH X 4L AZUL CARIBE - MERCLIN</v>
      </c>
      <c r="C1724">
        <v>51158.22</v>
      </c>
      <c r="D1724">
        <v>61901.446199999998</v>
      </c>
    </row>
    <row r="1725" spans="1:4" x14ac:dyDescent="0.25">
      <c r="A1725" t="str">
        <f>"02737"</f>
        <v>02737</v>
      </c>
      <c r="B1725" t="str">
        <f>"PISCINAS MEMBRANA LIQUITECH X 4L BLANCO - MERCLIN"</f>
        <v>PISCINAS MEMBRANA LIQUITECH X 4L BLANCO - MERCLIN</v>
      </c>
      <c r="C1725">
        <v>51158.22</v>
      </c>
      <c r="D1725">
        <v>61901.446199999998</v>
      </c>
    </row>
    <row r="1726" spans="1:4" x14ac:dyDescent="0.25">
      <c r="A1726" t="str">
        <f>"02738"</f>
        <v>02738</v>
      </c>
      <c r="B1726" t="str">
        <f>"PROBELL BARNIZ MARINO X 1L - MERCLIN"</f>
        <v>PROBELL BARNIZ MARINO X 1L - MERCLIN</v>
      </c>
      <c r="C1726">
        <v>10018.790000000001</v>
      </c>
      <c r="D1726">
        <v>12122.735900000001</v>
      </c>
    </row>
    <row r="1727" spans="1:4" x14ac:dyDescent="0.25">
      <c r="A1727" t="str">
        <f>"02739"</f>
        <v>02739</v>
      </c>
      <c r="B1727" t="str">
        <f>"PROBELL BARNIZ MARINO X 4L - MERCLIN"</f>
        <v>PROBELL BARNIZ MARINO X 4L - MERCLIN</v>
      </c>
      <c r="C1727">
        <v>35430.379999999997</v>
      </c>
      <c r="D1727">
        <v>42870.759799999993</v>
      </c>
    </row>
    <row r="1728" spans="1:4" x14ac:dyDescent="0.25">
      <c r="A1728" t="str">
        <f>"02740"</f>
        <v>02740</v>
      </c>
      <c r="B1728" t="str">
        <f>"PROBELL LASUR ROBLE BRILLANTE X 1L - MERCLIN"</f>
        <v>PROBELL LASUR ROBLE BRILLANTE X 1L - MERCLIN</v>
      </c>
      <c r="C1728">
        <v>13292.26</v>
      </c>
      <c r="D1728">
        <v>16083.634599999999</v>
      </c>
    </row>
    <row r="1729" spans="1:4" x14ac:dyDescent="0.25">
      <c r="A1729" t="str">
        <f>"02741"</f>
        <v>02741</v>
      </c>
      <c r="B1729" t="str">
        <f>"PROBELL LASUR ROBLE BRILLANTE X 4L - MERCLIN"</f>
        <v>PROBELL LASUR ROBLE BRILLANTE X 4L - MERCLIN</v>
      </c>
      <c r="C1729">
        <v>46530.37</v>
      </c>
      <c r="D1729">
        <v>56301.7477</v>
      </c>
    </row>
    <row r="1730" spans="1:4" x14ac:dyDescent="0.25">
      <c r="A1730" t="str">
        <f>"02742"</f>
        <v>02742</v>
      </c>
      <c r="B1730" t="str">
        <f>"PROBELL LASUR ROBLE SATINADO X 1L - MERCLIN"</f>
        <v>PROBELL LASUR ROBLE SATINADO X 1L - MERCLIN</v>
      </c>
      <c r="C1730">
        <v>13292.26</v>
      </c>
      <c r="D1730">
        <v>16083.634599999999</v>
      </c>
    </row>
    <row r="1731" spans="1:4" x14ac:dyDescent="0.25">
      <c r="A1731" t="str">
        <f>"02743"</f>
        <v>02743</v>
      </c>
      <c r="B1731" t="str">
        <f>"SAL DE LIMON X 0.5L - MERCLIN"</f>
        <v>SAL DE LIMON X 0.5L - MERCLIN</v>
      </c>
      <c r="C1731">
        <v>3533.71</v>
      </c>
      <c r="D1731">
        <v>4275.7891</v>
      </c>
    </row>
    <row r="1732" spans="1:4" x14ac:dyDescent="0.25">
      <c r="A1732" t="str">
        <f>"02744"</f>
        <v>02744</v>
      </c>
      <c r="B1732" t="str">
        <f>"SELLA GRIETAS PARA PISCINAS LIQUITECH CARTUCHO - MERCLIN"</f>
        <v>SELLA GRIETAS PARA PISCINAS LIQUITECH CARTUCHO - MERCLIN</v>
      </c>
      <c r="C1732">
        <v>10200.02</v>
      </c>
      <c r="D1732">
        <v>12342.0242</v>
      </c>
    </row>
    <row r="1733" spans="1:4" x14ac:dyDescent="0.25">
      <c r="A1733" t="str">
        <f>"02747"</f>
        <v>02747</v>
      </c>
      <c r="B1733" t="str">
        <f>"DESOXIDANTE ZEOCAR X 0.950 L - ZEOCAR"</f>
        <v>DESOXIDANTE ZEOCAR X 0.950 L - ZEOCAR</v>
      </c>
      <c r="C1733">
        <v>7667.12</v>
      </c>
      <c r="D1733">
        <v>9277.2151999999987</v>
      </c>
    </row>
    <row r="1734" spans="1:4" x14ac:dyDescent="0.25">
      <c r="A1734" t="str">
        <f>"02748"</f>
        <v>02748</v>
      </c>
      <c r="B1734" t="str">
        <f>"ENVASE 1 LITRO - ZEOCAR"</f>
        <v>ENVASE 1 LITRO - ZEOCAR</v>
      </c>
      <c r="C1734">
        <v>1249.83</v>
      </c>
      <c r="D1734">
        <v>1512.2942999999998</v>
      </c>
    </row>
    <row r="1735" spans="1:4" x14ac:dyDescent="0.25">
      <c r="A1735" t="str">
        <f>"02749"</f>
        <v>02749</v>
      </c>
      <c r="B1735" t="str">
        <f>"ENVASE 1/2 LITRO - ZEOCAR"</f>
        <v>ENVASE 1/2 LITRO - ZEOCAR</v>
      </c>
      <c r="C1735">
        <v>911.17</v>
      </c>
      <c r="D1735">
        <v>1102.5156999999999</v>
      </c>
    </row>
    <row r="1736" spans="1:4" x14ac:dyDescent="0.25">
      <c r="A1736" t="str">
        <f>"02750"</f>
        <v>02750</v>
      </c>
      <c r="B1736" t="str">
        <f>"ENVASE 1/4 LITRO - ZEOCAR"</f>
        <v>ENVASE 1/4 LITRO - ZEOCAR</v>
      </c>
      <c r="C1736">
        <v>774.09</v>
      </c>
      <c r="D1736">
        <v>936.64890000000003</v>
      </c>
    </row>
    <row r="1737" spans="1:4" x14ac:dyDescent="0.25">
      <c r="A1737" t="str">
        <f>"02751"</f>
        <v>02751</v>
      </c>
      <c r="B1737" t="str">
        <f>"ENVASE 4 LITRO - ZEOCAR"</f>
        <v>ENVASE 4 LITRO - ZEOCAR</v>
      </c>
      <c r="C1737">
        <v>2499.67</v>
      </c>
      <c r="D1737">
        <v>3024.6007</v>
      </c>
    </row>
    <row r="1738" spans="1:4" x14ac:dyDescent="0.25">
      <c r="A1738" t="str">
        <f>"02752"</f>
        <v>02752</v>
      </c>
      <c r="B1738" t="str">
        <f>"ESPATULA DE GOMA AZUL - ZEOCAR"</f>
        <v>ESPATULA DE GOMA AZUL - ZEOCAR</v>
      </c>
      <c r="C1738">
        <v>2864.13</v>
      </c>
      <c r="D1738">
        <v>3465.5972999999999</v>
      </c>
    </row>
    <row r="1739" spans="1:4" x14ac:dyDescent="0.25">
      <c r="A1739" t="str">
        <f>"02753"</f>
        <v>02753</v>
      </c>
      <c r="B1739" t="str">
        <f>"ESPATULA DE PLASTICO ZEOCAR"</f>
        <v>ESPATULA DE PLASTICO ZEOCAR</v>
      </c>
      <c r="C1739">
        <v>1172.02</v>
      </c>
      <c r="D1739">
        <v>1418.1442</v>
      </c>
    </row>
    <row r="1740" spans="1:4" x14ac:dyDescent="0.25">
      <c r="A1740" t="str">
        <f>"02754"</f>
        <v>02754</v>
      </c>
      <c r="B1740" t="str">
        <f>"MASILLA ALUMINIO X 535 GR - ZEOCAR"</f>
        <v>MASILLA ALUMINIO X 535 GR - ZEOCAR</v>
      </c>
      <c r="C1740">
        <v>13392.97</v>
      </c>
      <c r="D1740">
        <v>16205.493699999999</v>
      </c>
    </row>
    <row r="1741" spans="1:4" x14ac:dyDescent="0.25">
      <c r="A1741" t="str">
        <f>"02755"</f>
        <v>02755</v>
      </c>
      <c r="B1741" t="str">
        <f>"MASILLA FIBRADA X 0.535 KL - ZEOCAR"</f>
        <v>MASILLA FIBRADA X 0.535 KL - ZEOCAR</v>
      </c>
      <c r="C1741">
        <v>11878.66</v>
      </c>
      <c r="D1741">
        <v>14373.178599999999</v>
      </c>
    </row>
    <row r="1742" spans="1:4" x14ac:dyDescent="0.25">
      <c r="A1742" t="str">
        <f>"02756"</f>
        <v>02756</v>
      </c>
      <c r="B1742" t="str">
        <f>"MASILLA FIBRADA X 1.5 KL - ZEOCAR"</f>
        <v>MASILLA FIBRADA X 1.5 KL - ZEOCAR</v>
      </c>
      <c r="C1742">
        <v>28074.080000000002</v>
      </c>
      <c r="D1742">
        <v>33969.6368</v>
      </c>
    </row>
    <row r="1743" spans="1:4" x14ac:dyDescent="0.25">
      <c r="A1743" t="str">
        <f>"02757"</f>
        <v>02757</v>
      </c>
      <c r="B1743" t="str">
        <f>"MASILLA FINISH X 1KL - ZEOCAR"</f>
        <v>MASILLA FINISH X 1KL - ZEOCAR</v>
      </c>
      <c r="C1743">
        <v>15388.67</v>
      </c>
      <c r="D1743">
        <v>18620.290699999998</v>
      </c>
    </row>
    <row r="1744" spans="1:4" x14ac:dyDescent="0.25">
      <c r="A1744" t="str">
        <f>"02758"</f>
        <v>02758</v>
      </c>
      <c r="B1744" t="str">
        <f>"MASILLA FINISH X 4KL - ZEOCAR"</f>
        <v>MASILLA FINISH X 4KL - ZEOCAR</v>
      </c>
      <c r="C1744">
        <v>44877.88</v>
      </c>
      <c r="D1744">
        <v>54302.234799999998</v>
      </c>
    </row>
    <row r="1745" spans="1:4" x14ac:dyDescent="0.25">
      <c r="A1745" t="str">
        <f>"02760"</f>
        <v>02760</v>
      </c>
      <c r="B1745" t="str">
        <f>"MASILLA POLIESTER AZUL 0.5KL - ZEOCAR"</f>
        <v>MASILLA POLIESTER AZUL 0.5KL - ZEOCAR</v>
      </c>
      <c r="C1745">
        <v>7800.17</v>
      </c>
      <c r="D1745">
        <v>9438.2057000000004</v>
      </c>
    </row>
    <row r="1746" spans="1:4" x14ac:dyDescent="0.25">
      <c r="A1746" t="str">
        <f>"02761"</f>
        <v>02761</v>
      </c>
      <c r="B1746" t="str">
        <f>"MASILLA POLIESTER AZUL 1KL - ZEOCAR"</f>
        <v>MASILLA POLIESTER AZUL 1KL - ZEOCAR</v>
      </c>
      <c r="C1746">
        <v>12287.47</v>
      </c>
      <c r="D1746">
        <v>14867.838699999998</v>
      </c>
    </row>
    <row r="1747" spans="1:4" x14ac:dyDescent="0.25">
      <c r="A1747" t="str">
        <f>"02762"</f>
        <v>02762</v>
      </c>
      <c r="B1747" t="str">
        <f>"MASILLA POLIESTER AZUL 4KL - ZEOCAR"</f>
        <v>MASILLA POLIESTER AZUL 4KL - ZEOCAR</v>
      </c>
      <c r="C1747">
        <v>35279.160000000003</v>
      </c>
      <c r="D1747">
        <v>42687.783600000002</v>
      </c>
    </row>
    <row r="1748" spans="1:4" x14ac:dyDescent="0.25">
      <c r="A1748" t="str">
        <f>"02764"</f>
        <v>02764</v>
      </c>
      <c r="B1748" t="str">
        <f>"MASILLA ZEOFLEX 0.700 KG - ZEOCAR"</f>
        <v>MASILLA ZEOFLEX 0.700 KG - ZEOCAR</v>
      </c>
      <c r="C1748">
        <v>17690.38</v>
      </c>
      <c r="D1748">
        <v>21405.359800000002</v>
      </c>
    </row>
    <row r="1749" spans="1:4" x14ac:dyDescent="0.25">
      <c r="A1749" t="str">
        <f>"02765"</f>
        <v>02765</v>
      </c>
      <c r="B1749" t="str">
        <f>"PAÑO DE CORDERO 7` CON ABROJO - ZEOCAR"</f>
        <v>PAÑO DE CORDERO 7` CON ABROJO - ZEOCAR</v>
      </c>
      <c r="C1749">
        <v>21354</v>
      </c>
      <c r="D1749">
        <v>25838.34</v>
      </c>
    </row>
    <row r="1750" spans="1:4" x14ac:dyDescent="0.25">
      <c r="A1750" t="str">
        <f>"02766"</f>
        <v>02766</v>
      </c>
      <c r="B1750" t="str">
        <f>"PAÑO DE CORDERO DOBLE 7` - ZEOCAR"</f>
        <v>PAÑO DE CORDERO DOBLE 7` - ZEOCAR</v>
      </c>
      <c r="C1750">
        <v>39472.550000000003</v>
      </c>
      <c r="D1750">
        <v>47761.785500000005</v>
      </c>
    </row>
    <row r="1751" spans="1:4" x14ac:dyDescent="0.25">
      <c r="A1751" t="str">
        <f>"02767"</f>
        <v>02767</v>
      </c>
      <c r="B1751" t="str">
        <f>"PAÑO DE GOMA ESPUMA NEGRO 7` - ZEOCAR"</f>
        <v>PAÑO DE GOMA ESPUMA NEGRO 7` - ZEOCAR</v>
      </c>
      <c r="C1751">
        <v>20059.82</v>
      </c>
      <c r="D1751">
        <v>24272.3822</v>
      </c>
    </row>
    <row r="1752" spans="1:4" x14ac:dyDescent="0.25">
      <c r="A1752" t="str">
        <f>"02768"</f>
        <v>02768</v>
      </c>
      <c r="B1752" t="str">
        <f>"PAÑO DE GOMA ESPUMA DOBLE NEGRO  - ZEOCAR"</f>
        <v>PAÑO DE GOMA ESPUMA DOBLE NEGRO  - ZEOCAR</v>
      </c>
      <c r="C1752">
        <v>37401.86</v>
      </c>
      <c r="D1752">
        <v>45256.250599999999</v>
      </c>
    </row>
    <row r="1753" spans="1:4" x14ac:dyDescent="0.25">
      <c r="A1753" t="str">
        <f>"02769"</f>
        <v>02769</v>
      </c>
      <c r="B1753" t="str">
        <f>"PAÑO MICROFIBRA ZEOCAR"</f>
        <v>PAÑO MICROFIBRA ZEOCAR</v>
      </c>
      <c r="C1753">
        <v>8345.66</v>
      </c>
      <c r="D1753">
        <v>10098.248599999999</v>
      </c>
    </row>
    <row r="1754" spans="1:4" x14ac:dyDescent="0.25">
      <c r="A1754" t="str">
        <f>"02772"</f>
        <v>02772</v>
      </c>
      <c r="B1754" t="str">
        <f>"PROTECTOR SUBCARROCERIA ACRILICO BLANCO - 1L ZEOCAR"</f>
        <v>PROTECTOR SUBCARROCERIA ACRILICO BLANCO - 1L ZEOCAR</v>
      </c>
      <c r="C1754">
        <v>15276.19</v>
      </c>
      <c r="D1754">
        <v>18484.189900000001</v>
      </c>
    </row>
    <row r="1755" spans="1:4" x14ac:dyDescent="0.25">
      <c r="A1755" t="str">
        <f>"02773"</f>
        <v>02773</v>
      </c>
      <c r="B1755" t="str">
        <f>"PROTECTOR SUBCARROCERIA ACRILICO NEGRO - 1L ZEOCAR"</f>
        <v>PROTECTOR SUBCARROCERIA ACRILICO NEGRO - 1L ZEOCAR</v>
      </c>
      <c r="C1755">
        <v>15276.19</v>
      </c>
      <c r="D1755">
        <v>18484.189900000001</v>
      </c>
    </row>
    <row r="1756" spans="1:4" x14ac:dyDescent="0.25">
      <c r="A1756" t="str">
        <f>"02774"</f>
        <v>02774</v>
      </c>
      <c r="B1756" t="str">
        <f>"CREART HIDRO ESMALTE ALUMINIO X 1L - SINTEPLAST"</f>
        <v>CREART HIDRO ESMALTE ALUMINIO X 1L - SINTEPLAST</v>
      </c>
      <c r="C1756">
        <v>19859.689999999999</v>
      </c>
      <c r="D1756">
        <v>24030.224899999997</v>
      </c>
    </row>
    <row r="1757" spans="1:4" x14ac:dyDescent="0.25">
      <c r="A1757" t="str">
        <f>"02775"</f>
        <v>02775</v>
      </c>
      <c r="B1757" t="str">
        <f>"CREARTT HIDRO ESMALTE ALUMINIO X 4L - SINTEPLAST"</f>
        <v>CREARTT HIDRO ESMALTE ALUMINIO X 4L - SINTEPLAST</v>
      </c>
      <c r="C1757">
        <v>72810.2</v>
      </c>
      <c r="D1757">
        <v>88100.34199999999</v>
      </c>
    </row>
    <row r="1758" spans="1:4" x14ac:dyDescent="0.25">
      <c r="A1758" t="str">
        <f>"02776"</f>
        <v>02776</v>
      </c>
      <c r="B1758" t="str">
        <f>"DESOXIMAS DESOXIDANTE DESENGRASANTE 0,5 L - SINTEPLAST"</f>
        <v>DESOXIMAS DESOXIDANTE DESENGRASANTE 0,5 L - SINTEPLAST</v>
      </c>
      <c r="C1758">
        <v>5211.95</v>
      </c>
      <c r="D1758">
        <v>6306.4594999999999</v>
      </c>
    </row>
    <row r="1759" spans="1:4" x14ac:dyDescent="0.25">
      <c r="A1759" t="str">
        <f>"02777"</f>
        <v>02777</v>
      </c>
      <c r="B1759" t="str">
        <f>"DESOXIMAS DESOXIDANTE DESENGRASANTE 1 L - SINTEPLAST"</f>
        <v>DESOXIMAS DESOXIDANTE DESENGRASANTE 1 L - SINTEPLAST</v>
      </c>
      <c r="C1759">
        <v>8134.36</v>
      </c>
      <c r="D1759">
        <v>9842.5756000000001</v>
      </c>
    </row>
    <row r="1760" spans="1:4" x14ac:dyDescent="0.25">
      <c r="A1760" t="str">
        <f>"02778"</f>
        <v>02778</v>
      </c>
      <c r="B1760" t="str">
        <f>"DESOXIMAS DESOXIDANTE DESENGRASANTE 5 L - SINTEPLAST"</f>
        <v>DESOXIMAS DESOXIDANTE DESENGRASANTE 5 L - SINTEPLAST</v>
      </c>
      <c r="C1760">
        <v>27906.560000000001</v>
      </c>
      <c r="D1760">
        <v>33766.937599999997</v>
      </c>
    </row>
    <row r="1761" spans="1:4" x14ac:dyDescent="0.25">
      <c r="A1761" t="str">
        <f>"02780"</f>
        <v>02780</v>
      </c>
      <c r="B1761" t="str">
        <f>"FIBREPLAST PARCHE EN PASTA 0,5 KG - SINTEPLAST"</f>
        <v>FIBREPLAST PARCHE EN PASTA 0,5 KG - SINTEPLAST</v>
      </c>
      <c r="C1761">
        <v>20137.189999999999</v>
      </c>
      <c r="D1761">
        <v>24365.999899999999</v>
      </c>
    </row>
    <row r="1762" spans="1:4" x14ac:dyDescent="0.25">
      <c r="A1762" t="str">
        <f>"02781"</f>
        <v>02781</v>
      </c>
      <c r="B1762" t="str">
        <f>"HIDROESMALTE EPOXI PISOS Y PAREDES BLANCO 1L - SINTEPLAST"</f>
        <v>HIDROESMALTE EPOXI PISOS Y PAREDES BLANCO 1L - SINTEPLAST</v>
      </c>
      <c r="C1762">
        <v>28562.42</v>
      </c>
      <c r="D1762">
        <v>34560.528199999993</v>
      </c>
    </row>
    <row r="1763" spans="1:4" x14ac:dyDescent="0.25">
      <c r="A1763" t="str">
        <f>"02782"</f>
        <v>02782</v>
      </c>
      <c r="B1763" t="str">
        <f>"KIT PARCHE 1 L - SINTEPLAST"</f>
        <v>KIT PARCHE 1 L - SINTEPLAST</v>
      </c>
      <c r="C1763">
        <v>32732.19</v>
      </c>
      <c r="D1763">
        <v>39605.9499</v>
      </c>
    </row>
    <row r="1764" spans="1:4" x14ac:dyDescent="0.25">
      <c r="A1764" t="str">
        <f>"02783"</f>
        <v>02783</v>
      </c>
      <c r="B1764" t="str">
        <f>"KIT PARCHE 200 CC - SINTEPLAST"</f>
        <v>KIT PARCHE 200 CC - SINTEPLAST</v>
      </c>
      <c r="C1764">
        <v>16415.05</v>
      </c>
      <c r="D1764">
        <v>19862.210499999997</v>
      </c>
    </row>
    <row r="1765" spans="1:4" x14ac:dyDescent="0.25">
      <c r="A1765" t="str">
        <f>"02784"</f>
        <v>02784</v>
      </c>
      <c r="B1765" t="str">
        <f>"KIT PARCHE 500 CC - SINTEPLAST"</f>
        <v>KIT PARCHE 500 CC - SINTEPLAST</v>
      </c>
      <c r="C1765">
        <v>22249.96</v>
      </c>
      <c r="D1765">
        <v>26922.451599999997</v>
      </c>
    </row>
    <row r="1766" spans="1:4" x14ac:dyDescent="0.25">
      <c r="A1766" t="str">
        <f>"02785"</f>
        <v>02785</v>
      </c>
      <c r="B1766" t="str">
        <f>"KIT SINTEPOX HB EPOXI RECUFLOOR AT. BLANCO X 1L - SINTEPLAST"</f>
        <v>KIT SINTEPOX HB EPOXI RECUFLOOR AT. BLANCO X 1L - SINTEPLAST</v>
      </c>
      <c r="C1766">
        <v>27276.799999999999</v>
      </c>
      <c r="D1766">
        <v>33004.928</v>
      </c>
    </row>
    <row r="1767" spans="1:4" x14ac:dyDescent="0.25">
      <c r="A1767" t="str">
        <f>"02786"</f>
        <v>02786</v>
      </c>
      <c r="B1767" t="str">
        <f>"KIT SINTEPOX HB EPOXI RECUFLOOR AT. BLANCO X 4L - SINTEPLAST"</f>
        <v>KIT SINTEPOX HB EPOXI RECUFLOOR AT. BLANCO X 4L - SINTEPLAST</v>
      </c>
      <c r="C1767">
        <v>90868.79</v>
      </c>
      <c r="D1767">
        <v>109951.23589999999</v>
      </c>
    </row>
    <row r="1768" spans="1:4" x14ac:dyDescent="0.25">
      <c r="A1768" t="str">
        <f>"02787"</f>
        <v>02787</v>
      </c>
      <c r="B1768" t="str">
        <f>"KIT SINTEPOX HB EPOXI RECUFLOOR AT. GRIS X 1L - SINTEPLAST"</f>
        <v>KIT SINTEPOX HB EPOXI RECUFLOOR AT. GRIS X 1L - SINTEPLAST</v>
      </c>
      <c r="C1768">
        <v>26477.17</v>
      </c>
      <c r="D1768">
        <v>32037.375699999997</v>
      </c>
    </row>
    <row r="1769" spans="1:4" x14ac:dyDescent="0.25">
      <c r="A1769" t="str">
        <f>"02788"</f>
        <v>02788</v>
      </c>
      <c r="B1769" t="str">
        <f>"KIT SINTEPOX HB EPOXI RECUFLOOR AT. GRIS X 4L - SINTEPLAST"</f>
        <v>KIT SINTEPOX HB EPOXI RECUFLOOR AT. GRIS X 4L - SINTEPLAST</v>
      </c>
      <c r="C1769">
        <v>88275.77</v>
      </c>
      <c r="D1769">
        <v>106813.6817</v>
      </c>
    </row>
    <row r="1770" spans="1:4" x14ac:dyDescent="0.25">
      <c r="A1770" t="str">
        <f>"02789"</f>
        <v>02789</v>
      </c>
      <c r="B1770" t="str">
        <f>"KIT SINTEPOX HB EPOXI RECUFLOOR AT. NEGRO X 1L - SINTEPLAST"</f>
        <v>KIT SINTEPOX HB EPOXI RECUFLOOR AT. NEGRO X 1L - SINTEPLAST</v>
      </c>
      <c r="C1770">
        <v>27276.799999999999</v>
      </c>
      <c r="D1770">
        <v>33004.928</v>
      </c>
    </row>
    <row r="1771" spans="1:4" x14ac:dyDescent="0.25">
      <c r="A1771" t="str">
        <f>"02790"</f>
        <v>02790</v>
      </c>
      <c r="B1771" t="str">
        <f>"KIT SINTEPOX HB EPOXI RECUFLOOR AT. NEGRO X 4L - SINTEPLAST"</f>
        <v>KIT SINTEPOX HB EPOXI RECUFLOOR AT. NEGRO X 4L - SINTEPLAST</v>
      </c>
      <c r="C1771">
        <v>90868.79</v>
      </c>
      <c r="D1771">
        <v>109951.23589999999</v>
      </c>
    </row>
    <row r="1772" spans="1:4" x14ac:dyDescent="0.25">
      <c r="A1772" t="str">
        <f>"02791"</f>
        <v>02791</v>
      </c>
      <c r="B1772" t="str">
        <f>"LACA NITROSINTETICA ALUMINIO PARA LLANTAS 0,5 L - SINTEPLAST"</f>
        <v>LACA NITROSINTETICA ALUMINIO PARA LLANTAS 0,5 L - SINTEPLAST</v>
      </c>
      <c r="C1772">
        <v>8774.36</v>
      </c>
      <c r="D1772">
        <v>10616.9756</v>
      </c>
    </row>
    <row r="1773" spans="1:4" x14ac:dyDescent="0.25">
      <c r="A1773" t="str">
        <f>"02792"</f>
        <v>02792</v>
      </c>
      <c r="B1773" t="str">
        <f>"LACA NITROSINTETICA ALUMINIO PARA LLANTAS 1 L - SINTEPLAST"</f>
        <v>LACA NITROSINTETICA ALUMINIO PARA LLANTAS 1 L - SINTEPLAST</v>
      </c>
      <c r="C1773">
        <v>16231</v>
      </c>
      <c r="D1773">
        <v>19639.509999999998</v>
      </c>
    </row>
    <row r="1774" spans="1:4" x14ac:dyDescent="0.25">
      <c r="A1774" t="str">
        <f>"02793"</f>
        <v>02793</v>
      </c>
      <c r="B1774" t="str">
        <f>"LACA NITROSINTETICA NEGRO BRILLANTE 1 L - SINTEPLAST"</f>
        <v>LACA NITROSINTETICA NEGRO BRILLANTE 1 L - SINTEPLAST</v>
      </c>
      <c r="C1774">
        <v>18631.91</v>
      </c>
      <c r="D1774">
        <v>22544.611099999998</v>
      </c>
    </row>
    <row r="1775" spans="1:4" x14ac:dyDescent="0.25">
      <c r="A1775" t="str">
        <f>"02794"</f>
        <v>02794</v>
      </c>
      <c r="B1775" t="str">
        <f>"LACA NITROSINTETICA NEGRO BRILLANTE 4 L - SINTEPLAST"</f>
        <v>LACA NITROSINTETICA NEGRO BRILLANTE 4 L - SINTEPLAST</v>
      </c>
      <c r="C1775">
        <v>68139.48</v>
      </c>
      <c r="D1775">
        <v>82448.770799999998</v>
      </c>
    </row>
    <row r="1776" spans="1:4" x14ac:dyDescent="0.25">
      <c r="A1776" t="str">
        <f>"02795"</f>
        <v>02795</v>
      </c>
      <c r="B1776" t="str">
        <f>"LACA NITROSINTETICA NEGRO SATINADO 0,5 L - SINTEPLAST"</f>
        <v>LACA NITROSINTETICA NEGRO SATINADO 0,5 L - SINTEPLAST</v>
      </c>
      <c r="C1776">
        <v>9408.36</v>
      </c>
      <c r="D1776">
        <v>11384.115600000001</v>
      </c>
    </row>
    <row r="1777" spans="1:4" x14ac:dyDescent="0.25">
      <c r="A1777" t="str">
        <f>"02796"</f>
        <v>02796</v>
      </c>
      <c r="B1777" t="str">
        <f>"LACA NITROSINTETICA NEGRO SATINADO 1 L - SINTEPLAST"</f>
        <v>LACA NITROSINTETICA NEGRO SATINADO 1 L - SINTEPLAST</v>
      </c>
      <c r="C1777">
        <v>16247.76</v>
      </c>
      <c r="D1777">
        <v>19659.7896</v>
      </c>
    </row>
    <row r="1778" spans="1:4" x14ac:dyDescent="0.25">
      <c r="A1778" t="str">
        <f>"02797"</f>
        <v>02797</v>
      </c>
      <c r="B1778" t="str">
        <f>"LACA NITROSINTETICA TRIMAS  BLANCA BRILLANTE 1 L - SINTEPLAST"</f>
        <v>LACA NITROSINTETICA TRIMAS  BLANCA BRILLANTE 1 L - SINTEPLAST</v>
      </c>
      <c r="C1778">
        <v>17801.439999999999</v>
      </c>
      <c r="D1778">
        <v>21539.742399999999</v>
      </c>
    </row>
    <row r="1779" spans="1:4" x14ac:dyDescent="0.25">
      <c r="A1779" t="str">
        <f>"02798"</f>
        <v>02798</v>
      </c>
      <c r="B1779" t="str">
        <f>"MASILLA POLIESTER EXTRA FINA 1 KG - SINTEPLAST"</f>
        <v>MASILLA POLIESTER EXTRA FINA 1 KG - SINTEPLAST</v>
      </c>
      <c r="C1779">
        <v>11479.07</v>
      </c>
      <c r="D1779">
        <v>13889.6747</v>
      </c>
    </row>
    <row r="1780" spans="1:4" x14ac:dyDescent="0.25">
      <c r="A1780" t="str">
        <f>"02800"</f>
        <v>02800</v>
      </c>
      <c r="B1780" t="str">
        <f>"MASILLA POLIESTER EXTRA FINA 4 KG - SINTEPLAST"</f>
        <v>MASILLA POLIESTER EXTRA FINA 4 KG - SINTEPLAST</v>
      </c>
      <c r="C1780">
        <v>34867.58</v>
      </c>
      <c r="D1780">
        <v>42189.771800000002</v>
      </c>
    </row>
    <row r="1781" spans="1:4" x14ac:dyDescent="0.25">
      <c r="A1781" t="str">
        <f>"02801"</f>
        <v>02801</v>
      </c>
      <c r="B1781" t="str">
        <f>"MASILLA POLIESTER MULTIUSO 1 KG - SINTEPLAST"</f>
        <v>MASILLA POLIESTER MULTIUSO 1 KG - SINTEPLAST</v>
      </c>
      <c r="C1781">
        <v>9918.1200000000008</v>
      </c>
      <c r="D1781">
        <v>12000.925200000001</v>
      </c>
    </row>
    <row r="1782" spans="1:4" x14ac:dyDescent="0.25">
      <c r="A1782" t="str">
        <f>"02803"</f>
        <v>02803</v>
      </c>
      <c r="B1782" t="str">
        <f>"MASILLA POLIESTER MULTIUSO 4 KG - SINTEPLAST"</f>
        <v>MASILLA POLIESTER MULTIUSO 4 KG - SINTEPLAST</v>
      </c>
      <c r="C1782">
        <v>29599.25</v>
      </c>
      <c r="D1782">
        <v>35815.092499999999</v>
      </c>
    </row>
    <row r="1783" spans="1:4" x14ac:dyDescent="0.25">
      <c r="A1783" t="str">
        <f>"02804"</f>
        <v>02804</v>
      </c>
      <c r="B1783" t="str">
        <f>"MASILLA UNIVERSAL PIROXILINA ROJA 1 L - SINTEPLAST"</f>
        <v>MASILLA UNIVERSAL PIROXILINA ROJA 1 L - SINTEPLAST</v>
      </c>
      <c r="C1783">
        <v>16108.71</v>
      </c>
      <c r="D1783">
        <v>19491.539099999998</v>
      </c>
    </row>
    <row r="1784" spans="1:4" x14ac:dyDescent="0.25">
      <c r="A1784" t="str">
        <f>"02805"</f>
        <v>02805</v>
      </c>
      <c r="B1784" t="str">
        <f>"MASILLA UNIVERSAL RÁPIDA PIROXILINA GRIS 1 L - SINTEPLAST"</f>
        <v>MASILLA UNIVERSAL RÁPIDA PIROXILINA GRIS 1 L - SINTEPLAST</v>
      </c>
      <c r="C1784">
        <v>18367.25</v>
      </c>
      <c r="D1784">
        <v>22224.372499999998</v>
      </c>
    </row>
    <row r="1785" spans="1:4" x14ac:dyDescent="0.25">
      <c r="A1785" t="str">
        <f>"02806"</f>
        <v>02806</v>
      </c>
      <c r="B1785" t="str">
        <f>"PASTA DE PULIR GRUESA 0,5 L - SINTEPLAST"</f>
        <v>PASTA DE PULIR GRUESA 0,5 L - SINTEPLAST</v>
      </c>
      <c r="C1785">
        <v>7498.79</v>
      </c>
      <c r="D1785">
        <v>9073.5358999999989</v>
      </c>
    </row>
    <row r="1786" spans="1:4" x14ac:dyDescent="0.25">
      <c r="A1786" t="str">
        <f>"02807"</f>
        <v>02807</v>
      </c>
      <c r="B1786" t="str">
        <f>"PASTA DE PULIR GRUESA 1 L - SINTEPLAST"</f>
        <v>PASTA DE PULIR GRUESA 1 L - SINTEPLAST</v>
      </c>
      <c r="C1786">
        <v>11297.64</v>
      </c>
      <c r="D1786">
        <v>13670.144399999999</v>
      </c>
    </row>
    <row r="1787" spans="1:4" x14ac:dyDescent="0.25">
      <c r="A1787" t="str">
        <f>"02811"</f>
        <v>02811</v>
      </c>
      <c r="B1787" t="str">
        <f>"PASTA PARA PULIR FINA 0,5 L - SINTEPLAST"</f>
        <v>PASTA PARA PULIR FINA 0,5 L - SINTEPLAST</v>
      </c>
      <c r="C1787">
        <v>7587.3</v>
      </c>
      <c r="D1787">
        <v>9180.6329999999998</v>
      </c>
    </row>
    <row r="1788" spans="1:4" x14ac:dyDescent="0.25">
      <c r="A1788" t="str">
        <f>"02812"</f>
        <v>02812</v>
      </c>
      <c r="B1788" t="str">
        <f>"PASTA PARA PULIR FINA 1 L - SINTEPLAST"</f>
        <v>PASTA PARA PULIR FINA 1 L - SINTEPLAST</v>
      </c>
      <c r="C1788">
        <v>11785.91</v>
      </c>
      <c r="D1788">
        <v>14260.9511</v>
      </c>
    </row>
    <row r="1789" spans="1:4" x14ac:dyDescent="0.25">
      <c r="A1789" t="str">
        <f>"02813"</f>
        <v>02813</v>
      </c>
      <c r="B1789" t="str">
        <f>"PINTURA SUBCARROCERIA BLANCA X 1 L - SINTEPLAST"</f>
        <v>PINTURA SUBCARROCERIA BLANCA X 1 L - SINTEPLAST</v>
      </c>
      <c r="C1789">
        <v>10122.32</v>
      </c>
      <c r="D1789">
        <v>12248.0072</v>
      </c>
    </row>
    <row r="1790" spans="1:4" x14ac:dyDescent="0.25">
      <c r="A1790" t="str">
        <f>"02814"</f>
        <v>02814</v>
      </c>
      <c r="B1790" t="str">
        <f>"PINTURA SUBCARROCERIA NEGRA X 1 L - SINTEPLAST"</f>
        <v>PINTURA SUBCARROCERIA NEGRA X 1 L - SINTEPLAST</v>
      </c>
      <c r="C1790">
        <v>10122.32</v>
      </c>
      <c r="D1790">
        <v>12248.0072</v>
      </c>
    </row>
    <row r="1791" spans="1:4" x14ac:dyDescent="0.25">
      <c r="A1791" t="str">
        <f>"02815"</f>
        <v>02815</v>
      </c>
      <c r="B1791" t="str">
        <f>"PRIMER ADHERENTE PARA PLASTICOS 0,5 L - SINTEPLAST"</f>
        <v>PRIMER ADHERENTE PARA PLASTICOS 0,5 L - SINTEPLAST</v>
      </c>
      <c r="C1791">
        <v>11502.51</v>
      </c>
      <c r="D1791">
        <v>13918.0371</v>
      </c>
    </row>
    <row r="1792" spans="1:4" x14ac:dyDescent="0.25">
      <c r="A1792" t="str">
        <f>"02816"</f>
        <v>02816</v>
      </c>
      <c r="B1792" t="str">
        <f>"PRIMER ADHERENTE PARA PLASTICOS 1 L - SINTEPLAST"</f>
        <v>PRIMER ADHERENTE PARA PLASTICOS 1 L - SINTEPLAST</v>
      </c>
      <c r="C1792">
        <v>18719.09</v>
      </c>
      <c r="D1792">
        <v>22650.098900000001</v>
      </c>
    </row>
    <row r="1793" spans="1:4" x14ac:dyDescent="0.25">
      <c r="A1793" t="str">
        <f>"02817"</f>
        <v>02817</v>
      </c>
      <c r="B1793" t="str">
        <f>"PRIMER ALTO SOLIDO 1K BEIGE 1 L - SINTEPLAST"</f>
        <v>PRIMER ALTO SOLIDO 1K BEIGE 1 L - SINTEPLAST</v>
      </c>
      <c r="C1793">
        <v>17856.099999999999</v>
      </c>
      <c r="D1793">
        <v>21605.880999999998</v>
      </c>
    </row>
    <row r="1794" spans="1:4" x14ac:dyDescent="0.25">
      <c r="A1794" t="str">
        <f>"02818"</f>
        <v>02818</v>
      </c>
      <c r="B1794" t="str">
        <f>"PRIMER ALTO SOLIDO 1K BEIGE 4 L - SINTEPLAST"</f>
        <v>PRIMER ALTO SOLIDO 1K BEIGE 4 L - SINTEPLAST</v>
      </c>
      <c r="C1794">
        <v>70130.63</v>
      </c>
      <c r="D1794">
        <v>84858.062300000005</v>
      </c>
    </row>
    <row r="1795" spans="1:4" x14ac:dyDescent="0.25">
      <c r="A1795" t="str">
        <f>"02819"</f>
        <v>02819</v>
      </c>
      <c r="B1795" t="str">
        <f>"PRIMER ALTO SOLIDO 1K GRIS 1 L - SINTEPLAST"</f>
        <v>PRIMER ALTO SOLIDO 1K GRIS 1 L - SINTEPLAST</v>
      </c>
      <c r="C1795">
        <v>17856.099999999999</v>
      </c>
      <c r="D1795">
        <v>21605.880999999998</v>
      </c>
    </row>
    <row r="1796" spans="1:4" x14ac:dyDescent="0.25">
      <c r="A1796" t="str">
        <f>"02820"</f>
        <v>02820</v>
      </c>
      <c r="B1796" t="str">
        <f>"PRIMER ALTO SOLIDO 1K GRIS 4 L - SINTEPLAST"</f>
        <v>PRIMER ALTO SOLIDO 1K GRIS 4 L - SINTEPLAST</v>
      </c>
      <c r="C1796">
        <v>70130.63</v>
      </c>
      <c r="D1796">
        <v>84858.062300000005</v>
      </c>
    </row>
    <row r="1797" spans="1:4" x14ac:dyDescent="0.25">
      <c r="A1797" t="str">
        <f>"02821"</f>
        <v>02821</v>
      </c>
      <c r="B1797" t="str">
        <f>"PRIMER UNIVERSAL 1 K BLANCO 1 L - SINTEPLAST"</f>
        <v>PRIMER UNIVERSAL 1 K BLANCO 1 L - SINTEPLAST</v>
      </c>
      <c r="C1797">
        <v>15711.98</v>
      </c>
      <c r="D1797">
        <v>19011.495800000001</v>
      </c>
    </row>
    <row r="1798" spans="1:4" x14ac:dyDescent="0.25">
      <c r="A1798" t="str">
        <f>"02822"</f>
        <v>02822</v>
      </c>
      <c r="B1798" t="str">
        <f>"PRIMER UNIVERSAL 1 K GRIS 1 L - SINTEPLAST"</f>
        <v>PRIMER UNIVERSAL 1 K GRIS 1 L - SINTEPLAST</v>
      </c>
      <c r="C1798">
        <v>15711.98</v>
      </c>
      <c r="D1798">
        <v>19011.495800000001</v>
      </c>
    </row>
    <row r="1799" spans="1:4" x14ac:dyDescent="0.25">
      <c r="A1799" t="str">
        <f>"02823"</f>
        <v>02823</v>
      </c>
      <c r="B1799" t="str">
        <f>"PRIMER UNIVERSAL 1 K NEGRA 1 L - SINTEPLAST"</f>
        <v>PRIMER UNIVERSAL 1 K NEGRA 1 L - SINTEPLAST</v>
      </c>
      <c r="C1799">
        <v>15711.98</v>
      </c>
      <c r="D1799">
        <v>19011.495800000001</v>
      </c>
    </row>
    <row r="1800" spans="1:4" x14ac:dyDescent="0.25">
      <c r="A1800" t="str">
        <f>"02827"</f>
        <v>02827</v>
      </c>
      <c r="B1800" t="str">
        <f>"RECUBLOCK CIMIENTOS 12 KG - SINTEPLAST"</f>
        <v>RECUBLOCK CIMIENTOS 12 KG - SINTEPLAST</v>
      </c>
      <c r="C1800">
        <v>75310.8</v>
      </c>
      <c r="D1800">
        <v>91126.067999999999</v>
      </c>
    </row>
    <row r="1801" spans="1:4" x14ac:dyDescent="0.25">
      <c r="A1801" t="str">
        <f>"02828"</f>
        <v>02828</v>
      </c>
      <c r="B1801" t="str">
        <f>"RECUBLOCK CIMIENTOS 5 KG - SINTEPLAST"</f>
        <v>RECUBLOCK CIMIENTOS 5 KG - SINTEPLAST</v>
      </c>
      <c r="C1801">
        <v>32816.21</v>
      </c>
      <c r="D1801">
        <v>39707.614099999999</v>
      </c>
    </row>
    <row r="1802" spans="1:4" x14ac:dyDescent="0.25">
      <c r="A1802" t="str">
        <f>"02837"</f>
        <v>02837</v>
      </c>
      <c r="B1802" t="str">
        <f>"RECUMIX EXTERIOR 5 - SINTEPLAST"</f>
        <v>RECUMIX EXTERIOR 5 - SINTEPLAST</v>
      </c>
      <c r="C1802">
        <v>27723.86</v>
      </c>
      <c r="D1802">
        <v>33545.870600000002</v>
      </c>
    </row>
    <row r="1803" spans="1:4" x14ac:dyDescent="0.25">
      <c r="A1803" t="str">
        <f>"02838"</f>
        <v>02838</v>
      </c>
      <c r="B1803" t="str">
        <f>"RECUPLAST FRENTES 1 L - SINTEPLAST"</f>
        <v>RECUPLAST FRENTES 1 L - SINTEPLAST</v>
      </c>
      <c r="C1803">
        <v>15943.85</v>
      </c>
      <c r="D1803">
        <v>19292.058499999999</v>
      </c>
    </row>
    <row r="1804" spans="1:4" x14ac:dyDescent="0.25">
      <c r="A1804" t="str">
        <f>"02839"</f>
        <v>02839</v>
      </c>
      <c r="B1804" t="str">
        <f>"RECUPLAST FRENTES 10 L - SINTEPLAST"</f>
        <v>RECUPLAST FRENTES 10 L - SINTEPLAST</v>
      </c>
      <c r="C1804">
        <v>116195.45</v>
      </c>
      <c r="D1804">
        <v>140596.4945</v>
      </c>
    </row>
    <row r="1805" spans="1:4" x14ac:dyDescent="0.25">
      <c r="A1805" t="str">
        <f>"02840"</f>
        <v>02840</v>
      </c>
      <c r="B1805" t="str">
        <f>"RECUPLAST FRENTES 20 L - SINTEPLAST"</f>
        <v>RECUPLAST FRENTES 20 L - SINTEPLAST</v>
      </c>
      <c r="C1805">
        <v>196103.35</v>
      </c>
      <c r="D1805">
        <v>237285.05350000001</v>
      </c>
    </row>
    <row r="1806" spans="1:4" x14ac:dyDescent="0.25">
      <c r="A1806" t="str">
        <f>"02841"</f>
        <v>02841</v>
      </c>
      <c r="B1806" t="str">
        <f>"RECUPLAST FRENTES 4 L - SINTEPLAST"</f>
        <v>RECUPLAST FRENTES 4 L - SINTEPLAST</v>
      </c>
      <c r="C1806">
        <v>48762.59</v>
      </c>
      <c r="D1806">
        <v>59002.733899999992</v>
      </c>
    </row>
    <row r="1807" spans="1:4" x14ac:dyDescent="0.25">
      <c r="A1807" t="str">
        <f>"02842"</f>
        <v>02842</v>
      </c>
      <c r="B1807" t="str">
        <f>"RECUPLAST INTERIOR MATE 1 L  - SINTEPLAST"</f>
        <v>RECUPLAST INTERIOR MATE 1 L  - SINTEPLAST</v>
      </c>
      <c r="C1807">
        <v>12879.6</v>
      </c>
      <c r="D1807">
        <v>15584.316000000001</v>
      </c>
    </row>
    <row r="1808" spans="1:4" x14ac:dyDescent="0.25">
      <c r="A1808" t="str">
        <f>"02843"</f>
        <v>02843</v>
      </c>
      <c r="B1808" t="str">
        <f>"RECUPLAST INTERIOR MATE 10 L  - SINTEPLAST"</f>
        <v>RECUPLAST INTERIOR MATE 10 L  - SINTEPLAST</v>
      </c>
      <c r="C1808">
        <v>92121.62</v>
      </c>
      <c r="D1808">
        <v>111467.16019999998</v>
      </c>
    </row>
    <row r="1809" spans="1:4" x14ac:dyDescent="0.25">
      <c r="A1809" t="str">
        <f>"02844"</f>
        <v>02844</v>
      </c>
      <c r="B1809" t="str">
        <f>"RECUPLAST INTERIOR MATE 20 L  - SINTEPLAST"</f>
        <v>RECUPLAST INTERIOR MATE 20 L  - SINTEPLAST</v>
      </c>
      <c r="C1809">
        <v>143957.31</v>
      </c>
      <c r="D1809">
        <v>174188.34510000001</v>
      </c>
    </row>
    <row r="1810" spans="1:4" x14ac:dyDescent="0.25">
      <c r="A1810" t="str">
        <f>"02845"</f>
        <v>02845</v>
      </c>
      <c r="B1810" t="str">
        <f>"RECUPLAST INTERIOR MATE 4 L  - SINTEPLAST"</f>
        <v>RECUPLAST INTERIOR MATE 4 L  - SINTEPLAST</v>
      </c>
      <c r="C1810">
        <v>39045.56</v>
      </c>
      <c r="D1810">
        <v>47245.127599999993</v>
      </c>
    </row>
    <row r="1811" spans="1:4" x14ac:dyDescent="0.25">
      <c r="A1811" t="str">
        <f>"02847"</f>
        <v>02847</v>
      </c>
      <c r="B1811" t="str">
        <f>"THINNER ORO X 200L - SINTEPLAST"</f>
        <v>THINNER ORO X 200L - SINTEPLAST</v>
      </c>
      <c r="C1811">
        <v>911603.66</v>
      </c>
      <c r="D1811">
        <v>1103040.4286</v>
      </c>
    </row>
    <row r="1812" spans="1:4" x14ac:dyDescent="0.25">
      <c r="A1812" t="str">
        <f>"02848"</f>
        <v>02848</v>
      </c>
      <c r="B1812" t="str">
        <f>"TRIMAS IMPRESION NS GRIS X 0.9L - SINTEPLAST"</f>
        <v>TRIMAS IMPRESION NS GRIS X 0.9L - SINTEPLAST</v>
      </c>
      <c r="C1812">
        <v>12049.93</v>
      </c>
      <c r="D1812">
        <v>14580.415300000001</v>
      </c>
    </row>
    <row r="1813" spans="1:4" x14ac:dyDescent="0.25">
      <c r="A1813" t="str">
        <f>"02849"</f>
        <v>02849</v>
      </c>
      <c r="B1813" t="str">
        <f>"PAÑO MIURA NARANJA"</f>
        <v>PAÑO MIURA NARANJA</v>
      </c>
      <c r="C1813">
        <v>13837.31</v>
      </c>
      <c r="D1813">
        <v>16743.145099999998</v>
      </c>
    </row>
    <row r="1814" spans="1:4" x14ac:dyDescent="0.25">
      <c r="A1814" t="str">
        <f>"02850"</f>
        <v>02850</v>
      </c>
      <c r="B1814" t="str">
        <f>"FILM PLASTICO PARA ENMASCARAR 4M X 150 MTS - SHERWIN WILLIAMS"</f>
        <v>FILM PLASTICO PARA ENMASCARAR 4M X 150 MTS - SHERWIN WILLIAMS</v>
      </c>
      <c r="C1814">
        <v>101339.25</v>
      </c>
      <c r="D1814">
        <v>122620.49249999999</v>
      </c>
    </row>
    <row r="1815" spans="1:4" x14ac:dyDescent="0.25">
      <c r="A1815" t="str">
        <f>"02851"</f>
        <v>02851</v>
      </c>
      <c r="B1815" t="str">
        <f>"FILM PLASTICO PARA ENMASCARAR CON CINTA CREPE 1,4 MTS X 25 MTS -  SHERWIN WILLIAMS"</f>
        <v>FILM PLASTICO PARA ENMASCARAR CON CINTA CREPE 1,4 MTS X 25 MTS -  SHERWIN WILLIAMS</v>
      </c>
      <c r="C1815">
        <v>13082.73</v>
      </c>
      <c r="D1815">
        <v>15830.103299999999</v>
      </c>
    </row>
    <row r="1816" spans="1:4" x14ac:dyDescent="0.25">
      <c r="A1816" t="str">
        <f>"02852"</f>
        <v>02852</v>
      </c>
      <c r="B1816" t="str">
        <f>"FILM PLASTICO 1,4 X 25M CON CINTA CREPE Y DISPENSER  - SHERWIN WILLIAMS"</f>
        <v>FILM PLASTICO 1,4 X 25M CON CINTA CREPE Y DISPENSER  - SHERWIN WILLIAMS</v>
      </c>
      <c r="C1816">
        <v>16479.099999999999</v>
      </c>
      <c r="D1816">
        <v>19939.710999999999</v>
      </c>
    </row>
    <row r="1817" spans="1:4" x14ac:dyDescent="0.25">
      <c r="A1817" t="str">
        <f>"02853"</f>
        <v>02853</v>
      </c>
      <c r="B1817" t="str">
        <f>"ATONILLADOR + TALADRO TE-CD 18/40 LI SOLO - EINHELL"</f>
        <v>ATONILLADOR + TALADRO TE-CD 18/40 LI SOLO - EINHELL</v>
      </c>
      <c r="C1817">
        <v>185935.04</v>
      </c>
      <c r="D1817">
        <v>224981.39840000001</v>
      </c>
    </row>
    <row r="1818" spans="1:4" x14ac:dyDescent="0.25">
      <c r="A1818" t="str">
        <f>"02854"</f>
        <v>02854</v>
      </c>
      <c r="B1818" t="str">
        <f>"BATERIA KIT 2.5 AH 18V CARG+BAT - EINHELL"</f>
        <v>BATERIA KIT 2.5 AH 18V CARG+BAT - EINHELL</v>
      </c>
      <c r="C1818">
        <v>68972.17</v>
      </c>
      <c r="D1818">
        <v>83456.325700000001</v>
      </c>
    </row>
    <row r="1819" spans="1:4" x14ac:dyDescent="0.25">
      <c r="A1819" t="str">
        <f>"02855"</f>
        <v>02855</v>
      </c>
      <c r="B1819" t="str">
        <f>"BATERIA KIT 4.0 AH 18V CARG + BAT - EINHELL"</f>
        <v>BATERIA KIT 4.0 AH 18V CARG + BAT - EINHELL</v>
      </c>
      <c r="C1819">
        <v>98959.25</v>
      </c>
      <c r="D1819">
        <v>119740.69249999999</v>
      </c>
    </row>
    <row r="1820" spans="1:4" x14ac:dyDescent="0.25">
      <c r="A1820" t="str">
        <f>"02856"</f>
        <v>02856</v>
      </c>
      <c r="B1820" t="str">
        <f>"BAJO PUERTA DOBLE GRIS X 95CM - GEKO"</f>
        <v>BAJO PUERTA DOBLE GRIS X 95CM - GEKO</v>
      </c>
      <c r="C1820">
        <v>12958.41</v>
      </c>
      <c r="D1820">
        <v>15679.676099999999</v>
      </c>
    </row>
    <row r="1821" spans="1:4" x14ac:dyDescent="0.25">
      <c r="A1821" t="str">
        <f>"02857"</f>
        <v>02857</v>
      </c>
      <c r="B1821" t="str">
        <f>"BAJO PUERTA DOBLE MARRON X 95CM - GEKO"</f>
        <v>BAJO PUERTA DOBLE MARRON X 95CM - GEKO</v>
      </c>
      <c r="C1821">
        <v>12958.41</v>
      </c>
      <c r="D1821">
        <v>15679.676099999999</v>
      </c>
    </row>
    <row r="1822" spans="1:4" x14ac:dyDescent="0.25">
      <c r="A1822" t="str">
        <f>"02858"</f>
        <v>02858</v>
      </c>
      <c r="B1822" t="str">
        <f>"CALADORA TC-JS 85 CAL 620W - EINHELL"</f>
        <v>CALADORA TC-JS 85 CAL 620W - EINHELL</v>
      </c>
      <c r="C1822">
        <v>181756.44</v>
      </c>
      <c r="D1822">
        <v>219925.29240000001</v>
      </c>
    </row>
    <row r="1823" spans="1:4" x14ac:dyDescent="0.25">
      <c r="A1823" t="str">
        <f>"02859"</f>
        <v>02859</v>
      </c>
      <c r="B1823" t="str">
        <f>"CINTA ANTIDESLIZANTE TRANSPARENTE 25MM X 18M - GEKO"</f>
        <v>CINTA ANTIDESLIZANTE TRANSPARENTE 25MM X 18M - GEKO</v>
      </c>
      <c r="C1823">
        <v>36439.07</v>
      </c>
      <c r="D1823">
        <v>44091.274700000002</v>
      </c>
    </row>
    <row r="1824" spans="1:4" x14ac:dyDescent="0.25">
      <c r="A1824" t="str">
        <f>"02861"</f>
        <v>02861</v>
      </c>
      <c r="B1824" t="str">
        <f>"ESPUMA POLIURETANO FISCHER X 300ML - FISCHER"</f>
        <v>ESPUMA POLIURETANO FISCHER X 300ML - FISCHER</v>
      </c>
      <c r="C1824">
        <v>15272.16</v>
      </c>
      <c r="D1824">
        <v>18479.313599999998</v>
      </c>
    </row>
    <row r="1825" spans="1:4" x14ac:dyDescent="0.25">
      <c r="A1825" t="str">
        <f>"02862"</f>
        <v>02862</v>
      </c>
      <c r="B1825" t="str">
        <f>"ESPUMA POLIURETANO FISCHER X 500ML -FISCHER"</f>
        <v>ESPUMA POLIURETANO FISCHER X 500ML -FISCHER</v>
      </c>
      <c r="C1825">
        <v>22036.46</v>
      </c>
      <c r="D1825">
        <v>26664.116599999998</v>
      </c>
    </row>
    <row r="1826" spans="1:4" x14ac:dyDescent="0.25">
      <c r="A1826" t="str">
        <f>"02863"</f>
        <v>02863</v>
      </c>
      <c r="B1826" t="str">
        <f>"ESPUMA POLIURETANO FISCHER X 750ML -FISCHER"</f>
        <v>ESPUMA POLIURETANO FISCHER X 750ML -FISCHER</v>
      </c>
      <c r="C1826">
        <v>28186.13</v>
      </c>
      <c r="D1826">
        <v>34105.217299999997</v>
      </c>
    </row>
    <row r="1827" spans="1:4" x14ac:dyDescent="0.25">
      <c r="A1827" t="str">
        <f>"02864"</f>
        <v>02864</v>
      </c>
      <c r="B1827" t="str">
        <f>"KIT BOQUILLA 1.4 MM P700 - MOTA"</f>
        <v>KIT BOQUILLA 1.4 MM P700 - MOTA</v>
      </c>
      <c r="C1827">
        <v>32646.13</v>
      </c>
      <c r="D1827">
        <v>39501.817300000002</v>
      </c>
    </row>
    <row r="1828" spans="1:4" x14ac:dyDescent="0.25">
      <c r="A1828" t="str">
        <f>"02865"</f>
        <v>02865</v>
      </c>
      <c r="B1828" t="str">
        <f>"KIT BOQUILLA 1.7 MM P700 - MOTA"</f>
        <v>KIT BOQUILLA 1.7 MM P700 - MOTA</v>
      </c>
      <c r="C1828">
        <v>32646.13</v>
      </c>
      <c r="D1828">
        <v>39501.817300000002</v>
      </c>
    </row>
    <row r="1829" spans="1:4" x14ac:dyDescent="0.25">
      <c r="A1829" t="str">
        <f>"02866"</f>
        <v>02866</v>
      </c>
      <c r="B1829" t="str">
        <f>"KIT TALADRO TE-CD 18/45 3X-LI +22 - EINHELL"</f>
        <v>KIT TALADRO TE-CD 18/45 3X-LI +22 - EINHELL</v>
      </c>
      <c r="C1829">
        <v>542137.27</v>
      </c>
      <c r="D1829">
        <v>655986.09669999999</v>
      </c>
    </row>
    <row r="1830" spans="1:4" x14ac:dyDescent="0.25">
      <c r="A1830" t="str">
        <f>"02867"</f>
        <v>02867</v>
      </c>
      <c r="B1830" t="str">
        <f>"KIT TALADRO TP-CD 18/60 LI-I BL +39 - EINHELL"</f>
        <v>KIT TALADRO TP-CD 18/60 LI-I BL +39 - EINHELL</v>
      </c>
      <c r="C1830">
        <v>577927.98</v>
      </c>
      <c r="D1830">
        <v>699292.8557999999</v>
      </c>
    </row>
    <row r="1831" spans="1:4" x14ac:dyDescent="0.25">
      <c r="A1831" t="str">
        <f>"02872"</f>
        <v>02872</v>
      </c>
      <c r="B1831" t="str">
        <f>"LIJA TELA ESMERIL 3M N120 - 3M"</f>
        <v>LIJA TELA ESMERIL 3M N120 - 3M</v>
      </c>
      <c r="C1831">
        <v>991.44</v>
      </c>
      <c r="D1831">
        <v>1199.6424</v>
      </c>
    </row>
    <row r="1832" spans="1:4" x14ac:dyDescent="0.25">
      <c r="A1832" t="str">
        <f>"02873"</f>
        <v>02873</v>
      </c>
      <c r="B1832" t="str">
        <f>"LIJA TELA ESMERIL 3M N50 - 3M"</f>
        <v>LIJA TELA ESMERIL 3M N50 - 3M</v>
      </c>
      <c r="C1832">
        <v>991.44</v>
      </c>
      <c r="D1832">
        <v>1199.6424</v>
      </c>
    </row>
    <row r="1833" spans="1:4" x14ac:dyDescent="0.25">
      <c r="A1833" t="str">
        <f>"02875"</f>
        <v>02875</v>
      </c>
      <c r="B1833" t="str">
        <f>"LIJADORA ORBITAL TE-RS 18 LI - SOLO - EINHELL"</f>
        <v>LIJADORA ORBITAL TE-RS 18 LI - SOLO - EINHELL</v>
      </c>
      <c r="C1833">
        <v>229807.81</v>
      </c>
      <c r="D1833">
        <v>278067.45010000002</v>
      </c>
    </row>
    <row r="1834" spans="1:4" x14ac:dyDescent="0.25">
      <c r="A1834" t="str">
        <f>"02876"</f>
        <v>02876</v>
      </c>
      <c r="B1834" t="str">
        <f>"MEZCLADOR DE PINTURA TC - MX 1200 E - EINHELL"</f>
        <v>MEZCLADOR DE PINTURA TC - MX 1200 E - EINHELL</v>
      </c>
      <c r="C1834">
        <v>278903.2</v>
      </c>
      <c r="D1834">
        <v>337472.87200000003</v>
      </c>
    </row>
    <row r="1835" spans="1:4" x14ac:dyDescent="0.25">
      <c r="A1835" t="str">
        <f>"02877"</f>
        <v>02877</v>
      </c>
      <c r="B1835" t="str">
        <f>"PISTOLA DE CALOR TC-HA 2000/1 - EINHELL"</f>
        <v>PISTOLA DE CALOR TC-HA 2000/1 - EINHELL</v>
      </c>
      <c r="C1835">
        <v>96101.47</v>
      </c>
      <c r="D1835">
        <v>116282.7787</v>
      </c>
    </row>
    <row r="1836" spans="1:4" x14ac:dyDescent="0.25">
      <c r="A1836" t="str">
        <f>"02878"</f>
        <v>02878</v>
      </c>
      <c r="B1836" t="str">
        <f>"PISTOLA DE PINTAR P400 - MOTA"</f>
        <v>PISTOLA DE PINTAR P400 - MOTA</v>
      </c>
      <c r="C1836">
        <v>41822.58</v>
      </c>
      <c r="D1836">
        <v>50605.321799999998</v>
      </c>
    </row>
    <row r="1837" spans="1:4" x14ac:dyDescent="0.25">
      <c r="A1837" t="str">
        <f>"02879"</f>
        <v>02879</v>
      </c>
      <c r="B1837" t="str">
        <f>"PISTOLA DE PINTAR P700 - MOTA"</f>
        <v>PISTOLA DE PINTAR P700 - MOTA</v>
      </c>
      <c r="C1837">
        <v>98632.57</v>
      </c>
      <c r="D1837">
        <v>119345.4097</v>
      </c>
    </row>
    <row r="1838" spans="1:4" x14ac:dyDescent="0.25">
      <c r="A1838" t="str">
        <f>"02880"</f>
        <v>02880</v>
      </c>
      <c r="B1838" t="str">
        <f>"PISTOLA DE PINTAR P900 HVLP- MOTA"</f>
        <v>PISTOLA DE PINTAR P900 HVLP- MOTA</v>
      </c>
      <c r="C1838">
        <v>98976.51</v>
      </c>
      <c r="D1838">
        <v>119761.57709999999</v>
      </c>
    </row>
    <row r="1839" spans="1:4" x14ac:dyDescent="0.25">
      <c r="A1839" t="str">
        <f>"02881"</f>
        <v>02881</v>
      </c>
      <c r="B1839" t="str">
        <f>"PISTOLA DE PINTAR PREMIUM SUCCION P600 - MOTA"</f>
        <v>PISTOLA DE PINTAR PREMIUM SUCCION P600 - MOTA</v>
      </c>
      <c r="C1839">
        <v>88983.42</v>
      </c>
      <c r="D1839">
        <v>107669.93819999999</v>
      </c>
    </row>
    <row r="1840" spans="1:4" x14ac:dyDescent="0.25">
      <c r="A1840" t="str">
        <f>"02882"</f>
        <v>02882</v>
      </c>
      <c r="B1840" t="str">
        <f>"PISTOLA DE PINTAR TC-SY 700 S  700W - EINHELL"</f>
        <v>PISTOLA DE PINTAR TC-SY 700 S  700W - EINHELL</v>
      </c>
      <c r="C1840">
        <v>239335.42</v>
      </c>
      <c r="D1840">
        <v>289595.85820000002</v>
      </c>
    </row>
    <row r="1841" spans="1:4" x14ac:dyDescent="0.25">
      <c r="A1841" t="str">
        <f>"02883"</f>
        <v>02883</v>
      </c>
      <c r="B1841" t="str">
        <f>"PULIDORA EINHELL INALAMBRICA CE-CP 18/180 LI E - EINHELL"</f>
        <v>PULIDORA EINHELL INALAMBRICA CE-CP 18/180 LI E - EINHELL</v>
      </c>
      <c r="C1841">
        <v>461704.92</v>
      </c>
      <c r="D1841">
        <v>558662.95319999999</v>
      </c>
    </row>
    <row r="1842" spans="1:4" x14ac:dyDescent="0.25">
      <c r="A1842" t="str">
        <f>"02884"</f>
        <v>02884</v>
      </c>
      <c r="B1842" t="str">
        <f>"SELLADOR ACRILICO PINTABLE PREMIUN X 310ML - FISCHER"</f>
        <v>SELLADOR ACRILICO PINTABLE PREMIUN X 310ML - FISCHER</v>
      </c>
      <c r="C1842">
        <v>9877.15</v>
      </c>
      <c r="D1842">
        <v>11951.351499999999</v>
      </c>
    </row>
    <row r="1843" spans="1:4" x14ac:dyDescent="0.25">
      <c r="A1843" t="str">
        <f>"02885"</f>
        <v>02885</v>
      </c>
      <c r="B1843" t="str">
        <f>"SELLADOR NEUTRO BLANCA 284ML - FISCHER"</f>
        <v>SELLADOR NEUTRO BLANCA 284ML - FISCHER</v>
      </c>
      <c r="C1843">
        <v>9903.9</v>
      </c>
      <c r="D1843">
        <v>11983.718999999999</v>
      </c>
    </row>
    <row r="1844" spans="1:4" x14ac:dyDescent="0.25">
      <c r="A1844" t="str">
        <f>"02886"</f>
        <v>02886</v>
      </c>
      <c r="B1844" t="str">
        <f>"SELLADOR NEUTRO NEGRO 284ML - FISCHER"</f>
        <v>SELLADOR NEUTRO NEGRO 284ML - FISCHER</v>
      </c>
      <c r="C1844">
        <v>9903.9</v>
      </c>
      <c r="D1844">
        <v>11983.718999999999</v>
      </c>
    </row>
    <row r="1845" spans="1:4" x14ac:dyDescent="0.25">
      <c r="A1845" t="str">
        <f>"02887"</f>
        <v>02887</v>
      </c>
      <c r="B1845" t="str">
        <f>"SELLADOR NEUTRO TRANSPARENTE 284ML - FISCHER"</f>
        <v>SELLADOR NEUTRO TRANSPARENTE 284ML - FISCHER</v>
      </c>
      <c r="C1845">
        <v>9903.9</v>
      </c>
      <c r="D1845">
        <v>11983.718999999999</v>
      </c>
    </row>
    <row r="1846" spans="1:4" x14ac:dyDescent="0.25">
      <c r="A1846" t="str">
        <f>"02888"</f>
        <v>02888</v>
      </c>
      <c r="B1846" t="str">
        <f>"SELLADOR PEGADO TOTAL X 310ML - FISCHER"</f>
        <v>SELLADOR PEGADO TOTAL X 310ML - FISCHER</v>
      </c>
      <c r="C1846">
        <v>10744.07</v>
      </c>
      <c r="D1846">
        <v>13000.324699999999</v>
      </c>
    </row>
    <row r="1847" spans="1:4" x14ac:dyDescent="0.25">
      <c r="A1847" t="str">
        <f>"02889"</f>
        <v>02889</v>
      </c>
      <c r="B1847" t="str">
        <f>"SILICONA ACETICA MULTIUSO INCOLORO 260 ML - FISCHER"</f>
        <v>SILICONA ACETICA MULTIUSO INCOLORO 260 ML - FISCHER</v>
      </c>
      <c r="C1847">
        <v>8236.67</v>
      </c>
      <c r="D1847">
        <v>9966.3706999999995</v>
      </c>
    </row>
    <row r="1848" spans="1:4" x14ac:dyDescent="0.25">
      <c r="A1848" t="str">
        <f>"02890"</f>
        <v>02890</v>
      </c>
      <c r="B1848" t="str">
        <f>"TALADRO PRESICION TE-ID 18 LI - SOLO - EINHELL"</f>
        <v>TALADRO PRESICION TE-ID 18 LI - SOLO - EINHELL</v>
      </c>
      <c r="C1848">
        <v>185935.04</v>
      </c>
      <c r="D1848">
        <v>224981.39840000001</v>
      </c>
    </row>
    <row r="1849" spans="1:4" x14ac:dyDescent="0.25">
      <c r="A1849" t="str">
        <f>"02891"</f>
        <v>02891</v>
      </c>
      <c r="B1849" t="str">
        <f>"TOLVA  PARA REVOQUE PLASTICO - MOTA"</f>
        <v>TOLVA  PARA REVOQUE PLASTICO - MOTA</v>
      </c>
      <c r="C1849">
        <v>85609.54</v>
      </c>
      <c r="D1849">
        <v>103587.5434</v>
      </c>
    </row>
    <row r="1850" spans="1:4" x14ac:dyDescent="0.25">
      <c r="A1850" t="str">
        <f>"02892"</f>
        <v>02892</v>
      </c>
      <c r="B1850" t="str">
        <f>"VASO SOPLETE PLASTICO 600CC - MOTA"</f>
        <v>VASO SOPLETE PLASTICO 600CC - MOTA</v>
      </c>
      <c r="C1850">
        <v>16208.55</v>
      </c>
      <c r="D1850">
        <v>19612.345499999999</v>
      </c>
    </row>
    <row r="1851" spans="1:4" x14ac:dyDescent="0.25">
      <c r="A1851" t="str">
        <f>"02893"</f>
        <v>02893</v>
      </c>
      <c r="B1851" t="str">
        <f>"YESO SELENITA BOLSA AZUL X 2KL - SELENITA"</f>
        <v>YESO SELENITA BOLSA AZUL X 2KL - SELENITA</v>
      </c>
      <c r="C1851">
        <v>894.3</v>
      </c>
      <c r="D1851">
        <v>1082.1029999999998</v>
      </c>
    </row>
    <row r="1852" spans="1:4" x14ac:dyDescent="0.25">
      <c r="A1852" t="str">
        <f>"02894"</f>
        <v>02894</v>
      </c>
      <c r="B1852" t="str">
        <f>"SIKAGUARD LADRILLO TRANSPARENTE X 20L - SIKA"</f>
        <v>SIKAGUARD LADRILLO TRANSPARENTE X 20L - SIKA</v>
      </c>
      <c r="C1852">
        <v>376664.02</v>
      </c>
      <c r="D1852">
        <v>455763.46419999999</v>
      </c>
    </row>
    <row r="1853" spans="1:4" x14ac:dyDescent="0.25">
      <c r="A1853" t="str">
        <f>"02895"</f>
        <v>02895</v>
      </c>
      <c r="B1853" t="str">
        <f>"SIKAGUARD LADRILLOS TRANSPARENTE X 4L - SIKA"</f>
        <v>SIKAGUARD LADRILLOS TRANSPARENTE X 4L - SIKA</v>
      </c>
      <c r="C1853">
        <v>81393.52</v>
      </c>
      <c r="D1853">
        <v>98486.159200000009</v>
      </c>
    </row>
    <row r="1854" spans="1:4" x14ac:dyDescent="0.25">
      <c r="A1854" t="str">
        <f>"02896"</f>
        <v>02896</v>
      </c>
      <c r="B1854" t="str">
        <f>"SIKA MONOTOP 107 SEAL BOLSA X 25KL"</f>
        <v>SIKA MONOTOP 107 SEAL BOLSA X 25KL</v>
      </c>
      <c r="C1854">
        <v>55292.160000000003</v>
      </c>
      <c r="D1854">
        <v>66903.513600000006</v>
      </c>
    </row>
    <row r="1855" spans="1:4" x14ac:dyDescent="0.25">
      <c r="A1855" t="str">
        <f>"02897"</f>
        <v>02897</v>
      </c>
      <c r="B1855" t="str">
        <f>"SIKACRYL PROFESIONAL BLANCO CARTUCHO X 280ML"</f>
        <v>SIKACRYL PROFESIONAL BLANCO CARTUCHO X 280ML</v>
      </c>
      <c r="C1855">
        <v>17092.189999999999</v>
      </c>
      <c r="D1855">
        <v>20681.549899999998</v>
      </c>
    </row>
    <row r="1856" spans="1:4" x14ac:dyDescent="0.25">
      <c r="A1856" t="str">
        <f>"02898"</f>
        <v>02898</v>
      </c>
      <c r="B1856" t="str">
        <f>"SIKAFILL TERMICO TECHOS  BLANCO X 20L - SIKA"</f>
        <v>SIKAFILL TERMICO TECHOS  BLANCO X 20L - SIKA</v>
      </c>
      <c r="C1856">
        <v>326809.5</v>
      </c>
      <c r="D1856">
        <v>395439.495</v>
      </c>
    </row>
    <row r="1857" spans="1:4" x14ac:dyDescent="0.25">
      <c r="A1857" t="str">
        <f>"02899"</f>
        <v>02899</v>
      </c>
      <c r="B1857" t="str">
        <f>"SIKAGUARD 700 S X 20L - SIKA"</f>
        <v>SIKAGUARD 700 S X 20L - SIKA</v>
      </c>
      <c r="C1857">
        <v>414691.2</v>
      </c>
      <c r="D1857">
        <v>501776.35200000001</v>
      </c>
    </row>
    <row r="1858" spans="1:4" x14ac:dyDescent="0.25">
      <c r="A1858" t="str">
        <f>"02900"</f>
        <v>02900</v>
      </c>
      <c r="B1858" t="str">
        <f>"SIKAGUARD 700 S X 4L - SIKA"</f>
        <v>SIKAGUARD 700 S X 4L - SIKA</v>
      </c>
      <c r="C1858">
        <v>143009.72</v>
      </c>
      <c r="D1858">
        <v>173041.76120000001</v>
      </c>
    </row>
    <row r="1859" spans="1:4" x14ac:dyDescent="0.25">
      <c r="A1859" t="str">
        <f>"02901"</f>
        <v>02901</v>
      </c>
      <c r="B1859" t="str">
        <f>"BIDON 5 L - PLASTICO - ECOPET"</f>
        <v>BIDON 5 L - PLASTICO - ECOPET</v>
      </c>
      <c r="C1859">
        <v>137.71</v>
      </c>
      <c r="D1859">
        <v>166.62909999999999</v>
      </c>
    </row>
    <row r="1860" spans="1:4" x14ac:dyDescent="0.25">
      <c r="A1860" t="str">
        <f>"02902"</f>
        <v>02902</v>
      </c>
      <c r="B1860" t="str">
        <f>"BOTELLA 1L PLASTICA - ECOPET"</f>
        <v>BOTELLA 1L PLASTICA - ECOPET</v>
      </c>
      <c r="C1860">
        <v>57.45</v>
      </c>
      <c r="D1860">
        <v>69.514499999999998</v>
      </c>
    </row>
    <row r="1861" spans="1:4" x14ac:dyDescent="0.25">
      <c r="A1861" t="str">
        <f>"02903"</f>
        <v>02903</v>
      </c>
      <c r="B1861" t="str">
        <f>"BOTELLA X 500 CC PLASTICO - ECOPET"</f>
        <v>BOTELLA X 500 CC PLASTICO - ECOPET</v>
      </c>
      <c r="C1861">
        <v>43.2</v>
      </c>
      <c r="D1861">
        <v>52.271999999999998</v>
      </c>
    </row>
    <row r="1862" spans="1:4" x14ac:dyDescent="0.25">
      <c r="A1862" t="str">
        <f>"02904"</f>
        <v>02904</v>
      </c>
      <c r="B1862" t="str">
        <f>"ACEITE DE LINO 1L - GEO"</f>
        <v>ACEITE DE LINO 1L - GEO</v>
      </c>
      <c r="C1862">
        <v>4425.2700000000004</v>
      </c>
      <c r="D1862">
        <v>5354.5767000000005</v>
      </c>
    </row>
    <row r="1863" spans="1:4" x14ac:dyDescent="0.25">
      <c r="A1863" t="str">
        <f>"02905"</f>
        <v>02905</v>
      </c>
      <c r="B1863" t="str">
        <f>"DIFERENCIA DE FLETE"</f>
        <v>DIFERENCIA DE FLETE</v>
      </c>
      <c r="C1863">
        <v>0</v>
      </c>
      <c r="D1863">
        <v>0</v>
      </c>
    </row>
    <row r="1864" spans="1:4" x14ac:dyDescent="0.25">
      <c r="A1864" t="str">
        <f>"02906"</f>
        <v>02906</v>
      </c>
      <c r="B1864" t="str">
        <f>"ESPECTROFOTOMETRO AKZO 1 CUOTA"</f>
        <v>ESPECTROFOTOMETRO AKZO 1 CUOTA</v>
      </c>
      <c r="C1864">
        <v>0</v>
      </c>
      <c r="D1864">
        <v>0</v>
      </c>
    </row>
    <row r="1865" spans="1:4" x14ac:dyDescent="0.25">
      <c r="A1865" t="str">
        <f>"02907"</f>
        <v>02907</v>
      </c>
      <c r="B1865" t="str">
        <f>"ESPECTROFOTOMETRO AKZO 12 CHEQUES"</f>
        <v>ESPECTROFOTOMETRO AKZO 12 CHEQUES</v>
      </c>
      <c r="C1865">
        <v>0</v>
      </c>
      <c r="D1865">
        <v>0</v>
      </c>
    </row>
    <row r="1866" spans="1:4" x14ac:dyDescent="0.25">
      <c r="A1866" t="str">
        <f>"02908"</f>
        <v>02908</v>
      </c>
      <c r="B1866" t="str">
        <f>"MATERILES INDUSTRIA"</f>
        <v>MATERILES INDUSTRIA</v>
      </c>
      <c r="C1866">
        <v>0</v>
      </c>
      <c r="D1866">
        <v>0</v>
      </c>
    </row>
    <row r="1867" spans="1:4" x14ac:dyDescent="0.25">
      <c r="A1867" t="str">
        <f>"02909"</f>
        <v>02909</v>
      </c>
      <c r="B1867" t="str">
        <f>"PROTECTOR PARA LADRILLO BASE AGUA CERAMICO X 1L - CASTELBIANCO"</f>
        <v>PROTECTOR PARA LADRILLO BASE AGUA CERAMICO X 1L - CASTELBIANCO</v>
      </c>
      <c r="C1867">
        <v>5909.35</v>
      </c>
      <c r="D1867">
        <v>7150.3135000000002</v>
      </c>
    </row>
    <row r="1868" spans="1:4" x14ac:dyDescent="0.25">
      <c r="A1868" t="str">
        <f>"02910"</f>
        <v>02910</v>
      </c>
      <c r="B1868" t="str">
        <f>"PROTECTOR PARA LADRILLO BASE AGUA CRISTAL X 4L - CASTELBIANCO"</f>
        <v>PROTECTOR PARA LADRILLO BASE AGUA CRISTAL X 4L - CASTELBIANCO</v>
      </c>
      <c r="C1868">
        <v>23654.68</v>
      </c>
      <c r="D1868">
        <v>28622.162799999998</v>
      </c>
    </row>
    <row r="1869" spans="1:4" x14ac:dyDescent="0.25">
      <c r="A1869" t="str">
        <f>"02911"</f>
        <v>02911</v>
      </c>
      <c r="B1869" t="str">
        <f>"PROTECTOR PARA LADRILLO BASE AGUA NATURAL X 20L - CASTELBIANCO"</f>
        <v>PROTECTOR PARA LADRILLO BASE AGUA NATURAL X 20L - CASTELBIANCO</v>
      </c>
      <c r="C1869">
        <v>91397.94</v>
      </c>
      <c r="D1869">
        <v>110591.5074</v>
      </c>
    </row>
    <row r="1870" spans="1:4" x14ac:dyDescent="0.25">
      <c r="A1870" t="str">
        <f>"02912"</f>
        <v>02912</v>
      </c>
      <c r="B1870" t="str">
        <f>"AJUSTE DE CAJA"</f>
        <v>AJUSTE DE CAJA</v>
      </c>
      <c r="C1870">
        <v>0</v>
      </c>
      <c r="D1870">
        <v>0</v>
      </c>
    </row>
    <row r="1871" spans="1:4" x14ac:dyDescent="0.25">
      <c r="A1871" t="str">
        <f>"02913"</f>
        <v>02913</v>
      </c>
      <c r="B1871" t="str">
        <f>"AJUSTE DE CUENTA CORRIENTE"</f>
        <v>AJUSTE DE CUENTA CORRIENTE</v>
      </c>
      <c r="C1871">
        <v>0</v>
      </c>
      <c r="D1871">
        <v>0</v>
      </c>
    </row>
    <row r="1872" spans="1:4" x14ac:dyDescent="0.25">
      <c r="A1872" t="str">
        <f>"02914"</f>
        <v>02914</v>
      </c>
      <c r="B1872" t="str">
        <f>"FACTURAR CAJA 2"</f>
        <v>FACTURAR CAJA 2</v>
      </c>
      <c r="C1872">
        <v>0</v>
      </c>
      <c r="D1872">
        <v>0</v>
      </c>
    </row>
    <row r="1873" spans="1:4" x14ac:dyDescent="0.25">
      <c r="A1873" t="str">
        <f>"02915"</f>
        <v>02915</v>
      </c>
      <c r="B1873" t="str">
        <f>"INGRESO DE MERCADERÍA"</f>
        <v>INGRESO DE MERCADERÍA</v>
      </c>
      <c r="C1873">
        <v>0</v>
      </c>
      <c r="D1873">
        <v>0</v>
      </c>
    </row>
    <row r="1874" spans="1:4" x14ac:dyDescent="0.25">
      <c r="A1874" t="str">
        <f>"02916"</f>
        <v>02916</v>
      </c>
      <c r="B1874" t="str">
        <f>"MANO DE OBRA - INDUSTRIA"</f>
        <v>MANO DE OBRA - INDUSTRIA</v>
      </c>
      <c r="C1874">
        <v>0</v>
      </c>
      <c r="D1874">
        <v>0</v>
      </c>
    </row>
    <row r="1875" spans="1:4" x14ac:dyDescent="0.25">
      <c r="A1875" t="str">
        <f>"02917"</f>
        <v>02917</v>
      </c>
      <c r="B1875" t="str">
        <f>"PAGO CLIENTE"</f>
        <v>PAGO CLIENTE</v>
      </c>
      <c r="C1875">
        <v>0</v>
      </c>
      <c r="D1875">
        <v>0</v>
      </c>
    </row>
    <row r="1876" spans="1:4" x14ac:dyDescent="0.25">
      <c r="A1876" t="str">
        <f>"02918"</f>
        <v>02918</v>
      </c>
      <c r="B1876" t="str">
        <f>"SALDO INICIAL CTA CTE"</f>
        <v>SALDO INICIAL CTA CTE</v>
      </c>
      <c r="C1876">
        <v>0</v>
      </c>
      <c r="D1876">
        <v>0</v>
      </c>
    </row>
    <row r="1877" spans="1:4" x14ac:dyDescent="0.25">
      <c r="A1877" t="str">
        <f>"02919"</f>
        <v>02919</v>
      </c>
      <c r="B1877" t="str">
        <f>"TARJETAS"</f>
        <v>TARJETAS</v>
      </c>
      <c r="C1877">
        <v>0</v>
      </c>
      <c r="D1877">
        <v>0</v>
      </c>
    </row>
    <row r="1878" spans="1:4" x14ac:dyDescent="0.25">
      <c r="A1878" t="str">
        <f>"02920"</f>
        <v>02920</v>
      </c>
      <c r="B1878" t="str">
        <f>"TINTOMETRICO"</f>
        <v>TINTOMETRICO</v>
      </c>
      <c r="C1878">
        <v>0</v>
      </c>
      <c r="D1878">
        <v>0</v>
      </c>
    </row>
    <row r="1879" spans="1:4" x14ac:dyDescent="0.25">
      <c r="A1879" t="str">
        <f>"02921"</f>
        <v>02921</v>
      </c>
      <c r="B1879" t="str">
        <f>"TRABAJOS INDUSTRIA -"</f>
        <v>TRABAJOS INDUSTRIA -</v>
      </c>
      <c r="C1879">
        <v>0</v>
      </c>
      <c r="D1879">
        <v>0</v>
      </c>
    </row>
    <row r="1880" spans="1:4" x14ac:dyDescent="0.25">
      <c r="A1880" t="str">
        <f>"02922"</f>
        <v>02922</v>
      </c>
      <c r="B1880" t="str">
        <f>"VARIOS"</f>
        <v>VARIOS</v>
      </c>
      <c r="C1880">
        <v>0</v>
      </c>
      <c r="D1880">
        <v>0</v>
      </c>
    </row>
    <row r="1881" spans="1:4" x14ac:dyDescent="0.25">
      <c r="A1881" t="str">
        <f>"02927"</f>
        <v>02927</v>
      </c>
      <c r="B1881" t="str">
        <f>"HYDRA ACEITE DE LINO X 1 - COLORIN"</f>
        <v>HYDRA ACEITE DE LINO X 1 - COLORIN</v>
      </c>
      <c r="C1881">
        <v>17472.009999999998</v>
      </c>
      <c r="D1881">
        <v>21141.132099999999</v>
      </c>
    </row>
    <row r="1882" spans="1:4" x14ac:dyDescent="0.25">
      <c r="A1882" t="str">
        <f>"02929"</f>
        <v>02929</v>
      </c>
      <c r="B1882" t="str">
        <f>"AGUAS MENDOCINAS 21%"</f>
        <v>AGUAS MENDOCINAS 21%</v>
      </c>
      <c r="C1882">
        <v>0</v>
      </c>
      <c r="D1882">
        <v>0</v>
      </c>
    </row>
    <row r="1883" spans="1:4" x14ac:dyDescent="0.25">
      <c r="A1883" t="str">
        <f>"02930"</f>
        <v>02930</v>
      </c>
      <c r="B1883" t="str">
        <f>"EDEMSA 27%"</f>
        <v>EDEMSA 27%</v>
      </c>
      <c r="C1883">
        <v>0</v>
      </c>
      <c r="D1883">
        <v>0</v>
      </c>
    </row>
    <row r="1884" spans="1:4" x14ac:dyDescent="0.25">
      <c r="A1884" t="str">
        <f>"02931"</f>
        <v>02931</v>
      </c>
      <c r="B1884" t="str">
        <f>"ECOGAS"</f>
        <v>ECOGAS</v>
      </c>
      <c r="C1884">
        <v>0</v>
      </c>
      <c r="D1884">
        <v>0</v>
      </c>
    </row>
    <row r="1885" spans="1:4" x14ac:dyDescent="0.25">
      <c r="A1885" t="str">
        <f>"02933"</f>
        <v>02933</v>
      </c>
      <c r="B1885" t="str">
        <f>"ATM"</f>
        <v>ATM</v>
      </c>
      <c r="C1885">
        <v>0</v>
      </c>
      <c r="D1885">
        <v>0</v>
      </c>
    </row>
    <row r="1886" spans="1:4" x14ac:dyDescent="0.25">
      <c r="A1886" t="str">
        <f>"02934"</f>
        <v>02934</v>
      </c>
      <c r="B1886" t="str">
        <f>"MUNICIPALIDAD"</f>
        <v>MUNICIPALIDAD</v>
      </c>
      <c r="C1886">
        <v>0</v>
      </c>
      <c r="D1886">
        <v>0</v>
      </c>
    </row>
    <row r="1887" spans="1:4" x14ac:dyDescent="0.25">
      <c r="A1887" t="str">
        <f>"02935"</f>
        <v>02935</v>
      </c>
      <c r="B1887" t="str">
        <f>"UNION EMPLEADOS DE COMERCIO (U.E.C.)"</f>
        <v>UNION EMPLEADOS DE COMERCIO (U.E.C.)</v>
      </c>
      <c r="C1887">
        <v>0</v>
      </c>
      <c r="D1887">
        <v>0</v>
      </c>
    </row>
    <row r="1888" spans="1:4" x14ac:dyDescent="0.25">
      <c r="A1888" t="str">
        <f>"02936"</f>
        <v>02936</v>
      </c>
      <c r="B1888" t="str">
        <f>"FAESYS"</f>
        <v>FAESYS</v>
      </c>
      <c r="C1888">
        <v>0</v>
      </c>
      <c r="D1888">
        <v>0</v>
      </c>
    </row>
    <row r="1889" spans="1:4" x14ac:dyDescent="0.25">
      <c r="A1889" t="str">
        <f>"02937"</f>
        <v>02937</v>
      </c>
      <c r="B1889" t="str">
        <f>"SELLA CANALETAS TEKBOND ALUMINIO X 300 ML"</f>
        <v>SELLA CANALETAS TEKBOND ALUMINIO X 300 ML</v>
      </c>
      <c r="C1889">
        <v>7425</v>
      </c>
      <c r="D1889">
        <v>8984.25</v>
      </c>
    </row>
    <row r="1890" spans="1:4" x14ac:dyDescent="0.25">
      <c r="A1890" t="str">
        <f>"02938"</f>
        <v>02938</v>
      </c>
      <c r="B1890" t="str">
        <f>"PRIMER SURFACER RAPIDO ROJO OXIDO 0,9 L - SHERWIN WILIAMS"</f>
        <v>PRIMER SURFACER RAPIDO ROJO OXIDO 0,9 L - SHERWIN WILIAMS</v>
      </c>
      <c r="C1890">
        <v>17636.939999999999</v>
      </c>
      <c r="D1890">
        <v>21340.697399999997</v>
      </c>
    </row>
    <row r="1891" spans="1:4" x14ac:dyDescent="0.25">
      <c r="A1891" t="str">
        <f>"02941"</f>
        <v>02941</v>
      </c>
      <c r="B1891" t="str">
        <f>"ENDURECEDOR  PU/ALTA PERFORMANCE  -  573.009-2.5  -  FARBEN"</f>
        <v>ENDURECEDOR  PU/ALTA PERFORMANCE  -  573.009-2.5  -  FARBEN</v>
      </c>
      <c r="C1891">
        <v>101073.86</v>
      </c>
      <c r="D1891">
        <v>122299.37059999999</v>
      </c>
    </row>
    <row r="1892" spans="1:4" x14ac:dyDescent="0.25">
      <c r="A1892" t="str">
        <f>"02942"</f>
        <v>02942</v>
      </c>
      <c r="B1892" t="str">
        <f>"BARNIZ 543.850  SUELTO - FARBEN"</f>
        <v>BARNIZ 543.850  SUELTO - FARBEN</v>
      </c>
      <c r="C1892">
        <v>0</v>
      </c>
      <c r="D1892">
        <v>0</v>
      </c>
    </row>
    <row r="1893" spans="1:4" x14ac:dyDescent="0.25">
      <c r="A1893" t="str">
        <f>"02943"</f>
        <v>02943</v>
      </c>
      <c r="B1893" t="str">
        <f>"CEPILLO DE ACERO ROSARPIN"</f>
        <v>CEPILLO DE ACERO ROSARPIN</v>
      </c>
      <c r="C1893">
        <v>6570.04</v>
      </c>
      <c r="D1893">
        <v>7949.7483999999995</v>
      </c>
    </row>
    <row r="1894" spans="1:4" x14ac:dyDescent="0.25">
      <c r="A1894" t="str">
        <f>"02945"</f>
        <v>02945</v>
      </c>
      <c r="B1894" t="str">
        <f>"HOJA TELA ESMERIL K246 N100 - NORTON"</f>
        <v>HOJA TELA ESMERIL K246 N100 - NORTON</v>
      </c>
      <c r="C1894">
        <v>1396.06</v>
      </c>
      <c r="D1894">
        <v>1689.2325999999998</v>
      </c>
    </row>
    <row r="1895" spans="1:4" x14ac:dyDescent="0.25">
      <c r="A1895" t="str">
        <f>"02947"</f>
        <v>02947</v>
      </c>
      <c r="B1895" t="str">
        <f>"PISTOLA PARA SUBCARROCERIA AUTOMOTOR - SHERWIN WILLIAMS"</f>
        <v>PISTOLA PARA SUBCARROCERIA AUTOMOTOR - SHERWIN WILLIAMS</v>
      </c>
      <c r="C1895">
        <v>55497.78</v>
      </c>
      <c r="D1895">
        <v>67152.313800000004</v>
      </c>
    </row>
    <row r="1896" spans="1:4" x14ac:dyDescent="0.25">
      <c r="A1896" t="str">
        <f>"02949"</f>
        <v>02949</v>
      </c>
      <c r="B1896" t="str">
        <f>"GASA BARNIZADA - SHERWIN"</f>
        <v>GASA BARNIZADA - SHERWIN</v>
      </c>
      <c r="C1896">
        <v>1611.72</v>
      </c>
      <c r="D1896">
        <v>1950.1812</v>
      </c>
    </row>
    <row r="1897" spans="1:4" x14ac:dyDescent="0.25">
      <c r="A1897" t="str">
        <f>"02955"</f>
        <v>02955</v>
      </c>
      <c r="B1897" t="str">
        <f>"AGUARRAS X 900 CC - GEO"</f>
        <v>AGUARRAS X 900 CC - GEO</v>
      </c>
      <c r="C1897">
        <v>3861.81</v>
      </c>
      <c r="D1897">
        <v>4672.7901000000002</v>
      </c>
    </row>
    <row r="1898" spans="1:4" x14ac:dyDescent="0.25">
      <c r="A1898" t="str">
        <f>"02956"</f>
        <v>02956</v>
      </c>
      <c r="B1898" t="str">
        <f>"AGUARRAS X 5 L - GEO"</f>
        <v>AGUARRAS X 5 L - GEO</v>
      </c>
      <c r="C1898">
        <v>19179.47</v>
      </c>
      <c r="D1898">
        <v>23207.1587</v>
      </c>
    </row>
    <row r="1899" spans="1:4" x14ac:dyDescent="0.25">
      <c r="A1899" t="str">
        <f>"02959"</f>
        <v>02959</v>
      </c>
      <c r="B1899" t="str">
        <f>"ENDURECEDOR PU. 573.950 SUELTO - FARBEN"</f>
        <v>ENDURECEDOR PU. 573.950 SUELTO - FARBEN</v>
      </c>
      <c r="C1899">
        <v>0</v>
      </c>
      <c r="D1899">
        <v>0</v>
      </c>
    </row>
    <row r="1900" spans="1:4" x14ac:dyDescent="0.25">
      <c r="A1900" t="str">
        <f>"02960"</f>
        <v>02960</v>
      </c>
      <c r="B1900" t="str">
        <f>"MEMBRANA ULTRACAPA NEGRO X 20 LTS - DISTINCION"</f>
        <v>MEMBRANA ULTRACAPA NEGRO X 20 LTS - DISTINCION</v>
      </c>
      <c r="C1900">
        <v>119977.61</v>
      </c>
      <c r="D1900">
        <v>145172.9081</v>
      </c>
    </row>
    <row r="1901" spans="1:4" x14ac:dyDescent="0.25">
      <c r="A1901" t="str">
        <f>"02961"</f>
        <v>02961</v>
      </c>
      <c r="B1901" t="str">
        <f>"FIJADOR AL AGUA X 20 LTS - DISTINCION"</f>
        <v>FIJADOR AL AGUA X 20 LTS - DISTINCION</v>
      </c>
      <c r="C1901">
        <v>40154.22</v>
      </c>
      <c r="D1901">
        <v>48586.606200000002</v>
      </c>
    </row>
    <row r="1902" spans="1:4" x14ac:dyDescent="0.25">
      <c r="A1902" t="str">
        <f>"02962"</f>
        <v>02962</v>
      </c>
      <c r="B1902" t="str">
        <f>"FIJADOR AL AGUA X 10 LTS - DISTINCION"</f>
        <v>FIJADOR AL AGUA X 10 LTS - DISTINCION</v>
      </c>
      <c r="C1902">
        <v>21220.68</v>
      </c>
      <c r="D1902">
        <v>25677.022799999999</v>
      </c>
    </row>
    <row r="1903" spans="1:4" x14ac:dyDescent="0.25">
      <c r="A1903" t="str">
        <f>"02963"</f>
        <v>02963</v>
      </c>
      <c r="B1903" t="str">
        <f>"TRIMAS DESENGRASANTE 4 L - SINTEPLAST"</f>
        <v>TRIMAS DESENGRASANTE 4 L - SINTEPLAST</v>
      </c>
      <c r="C1903">
        <v>29125.37</v>
      </c>
      <c r="D1903">
        <v>35241.697699999997</v>
      </c>
    </row>
    <row r="1904" spans="1:4" x14ac:dyDescent="0.25">
      <c r="A1904" t="str">
        <f>"02964"</f>
        <v>02964</v>
      </c>
      <c r="B1904" t="str">
        <f>"TRIMAS DESENGRASANTE  1L - SINTEPLAST"</f>
        <v>TRIMAS DESENGRASANTE  1L - SINTEPLAST</v>
      </c>
      <c r="C1904">
        <v>8017.81</v>
      </c>
      <c r="D1904">
        <v>9701.5501000000004</v>
      </c>
    </row>
    <row r="1905" spans="1:4" x14ac:dyDescent="0.25">
      <c r="A1905" t="str">
        <f>"02965"</f>
        <v>02965</v>
      </c>
      <c r="B1905" t="str">
        <f>"IMPERMEABILIZANTE M Y M GRIS LONDRES G3 X 10LT. - DISTINCION"</f>
        <v>IMPERMEABILIZANTE M Y M GRIS LONDRES G3 X 10LT. - DISTINCION</v>
      </c>
      <c r="C1905">
        <v>64423.09</v>
      </c>
      <c r="D1905">
        <v>77951.938899999994</v>
      </c>
    </row>
    <row r="1906" spans="1:4" x14ac:dyDescent="0.25">
      <c r="A1906" t="str">
        <f>"02966"</f>
        <v>02966</v>
      </c>
      <c r="B1906" t="str">
        <f>"IMPERMEABILIZANTE M Y M NEGRO G3 X 10LT. - DISTINCION"</f>
        <v>IMPERMEABILIZANTE M Y M NEGRO G3 X 10LT. - DISTINCION</v>
      </c>
      <c r="C1906">
        <v>64423.09</v>
      </c>
      <c r="D1906">
        <v>77951.938899999994</v>
      </c>
    </row>
    <row r="1907" spans="1:4" x14ac:dyDescent="0.25">
      <c r="A1907" t="str">
        <f>"02967"</f>
        <v>02967</v>
      </c>
      <c r="B1907" t="str">
        <f>"ALBA CONVERT DE OXIDO ROJO - 04 L - ALBA"</f>
        <v>ALBA CONVERT DE OXIDO ROJO - 04 L - ALBA</v>
      </c>
      <c r="C1907">
        <v>53172.43</v>
      </c>
      <c r="D1907">
        <v>64338.640299999999</v>
      </c>
    </row>
    <row r="1908" spans="1:4" x14ac:dyDescent="0.25">
      <c r="A1908" t="str">
        <f>"02968"</f>
        <v>02968</v>
      </c>
      <c r="B1908" t="str">
        <f>"ALBACRYL MATE BASE M - 17,4 L - ALBA"</f>
        <v>ALBACRYL MATE BASE M - 17,4 L - ALBA</v>
      </c>
      <c r="C1908">
        <v>63824.66</v>
      </c>
      <c r="D1908">
        <v>77227.838600000003</v>
      </c>
    </row>
    <row r="1909" spans="1:4" x14ac:dyDescent="0.25">
      <c r="A1909" t="str">
        <f>"02969"</f>
        <v>02969</v>
      </c>
      <c r="B1909" t="str">
        <f>"ALBALATEX SATINADO BASE M - 17,4 L - ALBA"</f>
        <v>ALBALATEX SATINADO BASE M - 17,4 L - ALBA</v>
      </c>
      <c r="C1909">
        <v>143331</v>
      </c>
      <c r="D1909">
        <v>173430.51</v>
      </c>
    </row>
    <row r="1910" spans="1:4" x14ac:dyDescent="0.25">
      <c r="A1910" t="str">
        <f>"02970"</f>
        <v>02970</v>
      </c>
      <c r="B1910" t="str">
        <f>"ALBALUX DIAM 3EN1 MARFIL - 04 L - ALBA"</f>
        <v>ALBALUX DIAM 3EN1 MARFIL - 04 L - ALBA</v>
      </c>
      <c r="C1910">
        <v>50905.95</v>
      </c>
      <c r="D1910">
        <v>61596.199499999995</v>
      </c>
    </row>
    <row r="1911" spans="1:4" x14ac:dyDescent="0.25">
      <c r="A1911" t="str">
        <f>"02971"</f>
        <v>02971</v>
      </c>
      <c r="B1911" t="str">
        <f>"ALBALUX DIAM 3EN1 VICUÑA - 04 L - ALBA"</f>
        <v>ALBALUX DIAM 3EN1 VICUÑA - 04 L - ALBA</v>
      </c>
      <c r="C1911">
        <v>50905.95</v>
      </c>
      <c r="D1911">
        <v>61596.199499999995</v>
      </c>
    </row>
    <row r="1912" spans="1:4" x14ac:dyDescent="0.25">
      <c r="A1912" t="str">
        <f>"02972"</f>
        <v>02972</v>
      </c>
      <c r="B1912" t="str">
        <f>"ALBALUX DIAM 3EN1 CREMA - 04 L - ALBA"</f>
        <v>ALBALUX DIAM 3EN1 CREMA - 04 L - ALBA</v>
      </c>
      <c r="C1912">
        <v>50905.95</v>
      </c>
      <c r="D1912">
        <v>61596.199499999995</v>
      </c>
    </row>
    <row r="1913" spans="1:4" x14ac:dyDescent="0.25">
      <c r="A1913" t="str">
        <f>"02973"</f>
        <v>02973</v>
      </c>
      <c r="B1913" t="str">
        <f>"ALBALUX DIAM 3EN1 VERDE ILUSION - 04 L - ALBA"</f>
        <v>ALBALUX DIAM 3EN1 VERDE ILUSION - 04 L - ALBA</v>
      </c>
      <c r="C1913">
        <v>50905.95</v>
      </c>
      <c r="D1913">
        <v>61596.199499999995</v>
      </c>
    </row>
    <row r="1914" spans="1:4" x14ac:dyDescent="0.25">
      <c r="A1914" t="str">
        <f>"02974"</f>
        <v>02974</v>
      </c>
      <c r="B1914" t="str">
        <f>"ALBALUX DIAM 3EN1 CASTAÑO - 04 L - ALBA"</f>
        <v>ALBALUX DIAM 3EN1 CASTAÑO - 04 L - ALBA</v>
      </c>
      <c r="C1914">
        <v>50905.95</v>
      </c>
      <c r="D1914">
        <v>61596.199499999995</v>
      </c>
    </row>
    <row r="1915" spans="1:4" x14ac:dyDescent="0.25">
      <c r="A1915" t="str">
        <f>"02975"</f>
        <v>02975</v>
      </c>
      <c r="B1915" t="str">
        <f>"ALBAMATE BASE T - 04 L - ALBA"</f>
        <v>ALBAMATE BASE T - 04 L - ALBA</v>
      </c>
      <c r="C1915">
        <v>71684.61</v>
      </c>
      <c r="D1915">
        <v>86738.378100000002</v>
      </c>
    </row>
    <row r="1916" spans="1:4" x14ac:dyDescent="0.25">
      <c r="A1916" t="str">
        <f>"02976"</f>
        <v>02976</v>
      </c>
      <c r="B1916" t="str">
        <f>"DURALBA FRENTES Y MUROS  AMARILLO - 04 L - ALBA"</f>
        <v>DURALBA FRENTES Y MUROS  AMARILLO - 04 L - ALBA</v>
      </c>
      <c r="C1916">
        <v>41519.53</v>
      </c>
      <c r="D1916">
        <v>50238.631299999994</v>
      </c>
    </row>
    <row r="1917" spans="1:4" x14ac:dyDescent="0.25">
      <c r="A1917" t="str">
        <f>"02977"</f>
        <v>02977</v>
      </c>
      <c r="B1917" t="str">
        <f>"DURALBA FRENTES Y MUROS  TRAFUL - 04 L - ALBA"</f>
        <v>DURALBA FRENTES Y MUROS  TRAFUL - 04 L - ALBA</v>
      </c>
      <c r="C1917">
        <v>41519.53</v>
      </c>
      <c r="D1917">
        <v>50238.631299999994</v>
      </c>
    </row>
    <row r="1918" spans="1:4" x14ac:dyDescent="0.25">
      <c r="A1918" t="str">
        <f>"02978"</f>
        <v>02978</v>
      </c>
      <c r="B1918" t="str">
        <f>"DURALBA FRENTES Y MUROS  BERMELLON - 04 L - ALBA"</f>
        <v>DURALBA FRENTES Y MUROS  BERMELLON - 04 L - ALBA</v>
      </c>
      <c r="C1918">
        <v>41519.53</v>
      </c>
      <c r="D1918">
        <v>50238.631299999994</v>
      </c>
    </row>
    <row r="1919" spans="1:4" x14ac:dyDescent="0.25">
      <c r="A1919" t="str">
        <f>"02980"</f>
        <v>02980</v>
      </c>
      <c r="B1919" t="str">
        <f>"SATINOL ROJO BORNEO - 04 L - ALBA"</f>
        <v>SATINOL ROJO BORNEO - 04 L - ALBA</v>
      </c>
      <c r="C1919">
        <v>47259.32</v>
      </c>
      <c r="D1919">
        <v>57183.777199999997</v>
      </c>
    </row>
    <row r="1920" spans="1:4" x14ac:dyDescent="0.25">
      <c r="A1920" t="str">
        <f>"02981"</f>
        <v>02981</v>
      </c>
      <c r="B1920" t="str">
        <f>"SATINOL VERDE - 04 L - ALBA"</f>
        <v>SATINOL VERDE - 04 L - ALBA</v>
      </c>
      <c r="C1920">
        <v>47259.32</v>
      </c>
      <c r="D1920">
        <v>57183.777199999997</v>
      </c>
    </row>
    <row r="1921" spans="1:4" x14ac:dyDescent="0.25">
      <c r="A1921" t="str">
        <f>"02982"</f>
        <v>02982</v>
      </c>
      <c r="B1921" t="str">
        <f>"SATINOL CANARIA - 04 L - ALBA"</f>
        <v>SATINOL CANARIA - 04 L - ALBA</v>
      </c>
      <c r="C1921">
        <v>47259.32</v>
      </c>
      <c r="D1921">
        <v>57183.777199999997</v>
      </c>
    </row>
    <row r="1922" spans="1:4" x14ac:dyDescent="0.25">
      <c r="A1922" t="str">
        <f>"02983"</f>
        <v>02983</v>
      </c>
      <c r="B1922" t="str">
        <f>"SATINOL CAPRI - 04 L - ALBA"</f>
        <v>SATINOL CAPRI - 04 L - ALBA</v>
      </c>
      <c r="C1922">
        <v>47259.32</v>
      </c>
      <c r="D1922">
        <v>57183.777199999997</v>
      </c>
    </row>
    <row r="1923" spans="1:4" x14ac:dyDescent="0.25">
      <c r="A1923" t="str">
        <f>"02985"</f>
        <v>02985</v>
      </c>
      <c r="B1923" t="str">
        <f>"ALBA CONVERT DE OXIDO BLANCO - 500CC - ALBA"</f>
        <v>ALBA CONVERT DE OXIDO BLANCO - 500CC - ALBA</v>
      </c>
      <c r="C1923">
        <v>7962.92</v>
      </c>
      <c r="D1923">
        <v>9635.1332000000002</v>
      </c>
    </row>
    <row r="1924" spans="1:4" x14ac:dyDescent="0.25">
      <c r="A1924" t="str">
        <f>"02986"</f>
        <v>02986</v>
      </c>
      <c r="B1924" t="str">
        <f>"ALBA CONVERT DE OXIDO ROJO - 500CC - ALBA"</f>
        <v>ALBA CONVERT DE OXIDO ROJO - 500CC - ALBA</v>
      </c>
      <c r="C1924">
        <v>7962.92</v>
      </c>
      <c r="D1924">
        <v>9635.1332000000002</v>
      </c>
    </row>
    <row r="1925" spans="1:4" x14ac:dyDescent="0.25">
      <c r="A1925" t="str">
        <f>"02987"</f>
        <v>02987</v>
      </c>
      <c r="B1925" t="str">
        <f>"ALBA CONVERT DE OXIDO ROJO - 01 L - ALBA"</f>
        <v>ALBA CONVERT DE OXIDO ROJO - 01 L - ALBA</v>
      </c>
      <c r="C1925">
        <v>16499.599999999999</v>
      </c>
      <c r="D1925">
        <v>19964.515999999996</v>
      </c>
    </row>
    <row r="1926" spans="1:4" x14ac:dyDescent="0.25">
      <c r="A1926" t="str">
        <f>"02988"</f>
        <v>02988</v>
      </c>
      <c r="B1926" t="str">
        <f>"ALBA ESM BRI DOBLE ACC VERDE CLARO - 01 L - ALBA"</f>
        <v>ALBA ESM BRI DOBLE ACC VERDE CLARO - 01 L - ALBA</v>
      </c>
      <c r="C1926">
        <v>9834.75</v>
      </c>
      <c r="D1926">
        <v>11900.047499999999</v>
      </c>
    </row>
    <row r="1927" spans="1:4" x14ac:dyDescent="0.25">
      <c r="A1927" t="str">
        <f>"02989"</f>
        <v>02989</v>
      </c>
      <c r="B1927" t="str">
        <f>"ALBA ESM BRI DOBLE ACC NEGRO - 500CC - ALBA"</f>
        <v>ALBA ESM BRI DOBLE ACC NEGRO - 500CC - ALBA</v>
      </c>
      <c r="C1927">
        <v>4908.6499999999996</v>
      </c>
      <c r="D1927">
        <v>5939.4664999999995</v>
      </c>
    </row>
    <row r="1928" spans="1:4" x14ac:dyDescent="0.25">
      <c r="A1928" t="str">
        <f>"02990"</f>
        <v>02990</v>
      </c>
      <c r="B1928" t="str">
        <f>"ALBAFRENT TECHOS  BLANCO - 1 KG - ALBA"</f>
        <v>ALBAFRENT TECHOS  BLANCO - 1 KG - ALBA</v>
      </c>
      <c r="C1928">
        <v>6653.94</v>
      </c>
      <c r="D1928">
        <v>8051.2673999999997</v>
      </c>
    </row>
    <row r="1929" spans="1:4" x14ac:dyDescent="0.25">
      <c r="A1929" t="str">
        <f>"02991"</f>
        <v>02991</v>
      </c>
      <c r="B1929" t="str">
        <f>"ALBALUX  2 EN 1 GRIS ESPACIAL -  500 ML - ALBA"</f>
        <v>ALBALUX  2 EN 1 GRIS ESPACIAL -  500 ML - ALBA</v>
      </c>
      <c r="C1929">
        <v>7798.79</v>
      </c>
      <c r="D1929">
        <v>9436.5358999999989</v>
      </c>
    </row>
    <row r="1930" spans="1:4" x14ac:dyDescent="0.25">
      <c r="A1930" t="str">
        <f>"02993"</f>
        <v>02993</v>
      </c>
      <c r="B1930" t="str">
        <f>"ALBALUX DIAM 3EN1 MARFIL - 01 L - ALBA"</f>
        <v>ALBALUX DIAM 3EN1 MARFIL - 01 L - ALBA</v>
      </c>
      <c r="C1930">
        <v>15241.78</v>
      </c>
      <c r="D1930">
        <v>18442.553800000002</v>
      </c>
    </row>
    <row r="1931" spans="1:4" x14ac:dyDescent="0.25">
      <c r="A1931" t="str">
        <f>"02994"</f>
        <v>02994</v>
      </c>
      <c r="B1931" t="str">
        <f>"ALBALUX DIAM 3EN1 VICUÑA - 01 L - ALBA"</f>
        <v>ALBALUX DIAM 3EN1 VICUÑA - 01 L - ALBA</v>
      </c>
      <c r="C1931">
        <v>15241.78</v>
      </c>
      <c r="D1931">
        <v>18442.553800000002</v>
      </c>
    </row>
    <row r="1932" spans="1:4" x14ac:dyDescent="0.25">
      <c r="A1932" t="str">
        <f>"02995"</f>
        <v>02995</v>
      </c>
      <c r="B1932" t="str">
        <f>"ALBALUX DIAM 3EN1 CREMA - 01 L - ALBA"</f>
        <v>ALBALUX DIAM 3EN1 CREMA - 01 L - ALBA</v>
      </c>
      <c r="C1932">
        <v>15241.78</v>
      </c>
      <c r="D1932">
        <v>18442.553800000002</v>
      </c>
    </row>
    <row r="1933" spans="1:4" x14ac:dyDescent="0.25">
      <c r="A1933" t="str">
        <f>"02996"</f>
        <v>02996</v>
      </c>
      <c r="B1933" t="str">
        <f>"ALBALUX DIAM 3EN1 VERDE ILUSION - 01 L - ALBA"</f>
        <v>ALBALUX DIAM 3EN1 VERDE ILUSION - 01 L - ALBA</v>
      </c>
      <c r="C1933">
        <v>15241.78</v>
      </c>
      <c r="D1933">
        <v>18442.553800000002</v>
      </c>
    </row>
    <row r="1934" spans="1:4" x14ac:dyDescent="0.25">
      <c r="A1934" t="str">
        <f>"02997"</f>
        <v>02997</v>
      </c>
      <c r="B1934" t="str">
        <f>"CENTRO TECHOS FIBRADO BLANCO - 1 KG - ALBA"</f>
        <v>CENTRO TECHOS FIBRADO BLANCO - 1 KG - ALBA</v>
      </c>
      <c r="C1934">
        <v>5672.22</v>
      </c>
      <c r="D1934">
        <v>6863.3861999999999</v>
      </c>
    </row>
    <row r="1935" spans="1:4" x14ac:dyDescent="0.25">
      <c r="A1935" t="str">
        <f>"02998"</f>
        <v>02998</v>
      </c>
      <c r="B1935" t="str">
        <f>"DURALBA ACRILICO AMARILLO - 01 L - ALBA"</f>
        <v>DURALBA ACRILICO AMARILLO - 01 L - ALBA</v>
      </c>
      <c r="C1935">
        <v>12263.97</v>
      </c>
      <c r="D1935">
        <v>14839.403699999999</v>
      </c>
    </row>
    <row r="1936" spans="1:4" x14ac:dyDescent="0.25">
      <c r="A1936" t="str">
        <f>"02999"</f>
        <v>02999</v>
      </c>
      <c r="B1936" t="str">
        <f>"DURALBA FRENTES Y MUROS  AMARILLO - 01 L - ALBA"</f>
        <v>DURALBA FRENTES Y MUROS  AMARILLO - 01 L - ALBA</v>
      </c>
      <c r="C1936">
        <v>13860.93</v>
      </c>
      <c r="D1936">
        <v>16771.725299999998</v>
      </c>
    </row>
    <row r="1937" spans="1:4" x14ac:dyDescent="0.25">
      <c r="A1937" t="str">
        <f>"03000"</f>
        <v>03000</v>
      </c>
      <c r="B1937" t="str">
        <f>"DURALBA FRENTES Y MUROS  TRAFUL - 01 L - ALBA"</f>
        <v>DURALBA FRENTES Y MUROS  TRAFUL - 01 L - ALBA</v>
      </c>
      <c r="C1937">
        <v>12770.12</v>
      </c>
      <c r="D1937">
        <v>15451.8452</v>
      </c>
    </row>
    <row r="1938" spans="1:4" x14ac:dyDescent="0.25">
      <c r="A1938" t="str">
        <f>"03002"</f>
        <v>03002</v>
      </c>
      <c r="B1938" t="str">
        <f>"SATINOL CAPRI - 01 L - ALBA"</f>
        <v>SATINOL CAPRI - 01 L - ALBA</v>
      </c>
      <c r="C1938">
        <v>13705.81</v>
      </c>
      <c r="D1938">
        <v>16584.0301</v>
      </c>
    </row>
    <row r="1939" spans="1:4" x14ac:dyDescent="0.25">
      <c r="A1939" t="str">
        <f>"03003"</f>
        <v>03003</v>
      </c>
      <c r="B1939" t="str">
        <f>"SATINOL CANARIA - 01 L - ALBA"</f>
        <v>SATINOL CANARIA - 01 L - ALBA</v>
      </c>
      <c r="C1939">
        <v>13705.81</v>
      </c>
      <c r="D1939">
        <v>16584.0301</v>
      </c>
    </row>
    <row r="1940" spans="1:4" x14ac:dyDescent="0.25">
      <c r="A1940" t="str">
        <f>"03005"</f>
        <v>03005</v>
      </c>
      <c r="B1940" t="str">
        <f>"SELLADOR POLIURETANO P/PARABRISAS PU55 X 310ML - TEKBOND"</f>
        <v>SELLADOR POLIURETANO P/PARABRISAS PU55 X 310ML - TEKBOND</v>
      </c>
      <c r="C1940">
        <v>16193.62</v>
      </c>
      <c r="D1940">
        <v>19594.280200000001</v>
      </c>
    </row>
    <row r="1941" spans="1:4" x14ac:dyDescent="0.25">
      <c r="A1941" t="str">
        <f>"03006"</f>
        <v>03006</v>
      </c>
      <c r="B1941" t="str">
        <f>"CONSTRUCTOR INT/EXT MATE AMARILLO FUEGUINO - 01 L - ALBA"</f>
        <v>CONSTRUCTOR INT/EXT MATE AMARILLO FUEGUINO - 01 L - ALBA</v>
      </c>
      <c r="C1941">
        <v>9656.2199999999993</v>
      </c>
      <c r="D1941">
        <v>11684.026199999998</v>
      </c>
    </row>
    <row r="1942" spans="1:4" x14ac:dyDescent="0.25">
      <c r="A1942" t="str">
        <f>"03007"</f>
        <v>03007</v>
      </c>
      <c r="B1942" t="str">
        <f>"CONSTRUCTOR INT/EXT MATE AMARILLO FUEGUINO - 4 L - ALBA"</f>
        <v>CONSTRUCTOR INT/EXT MATE AMARILLO FUEGUINO - 4 L - ALBA</v>
      </c>
      <c r="C1942">
        <v>31381.7</v>
      </c>
      <c r="D1942">
        <v>37971.856999999996</v>
      </c>
    </row>
    <row r="1943" spans="1:4" x14ac:dyDescent="0.25">
      <c r="A1943" t="str">
        <f>"03008"</f>
        <v>03008</v>
      </c>
      <c r="B1943" t="str">
        <f>"CONSTRUCTOR INT/EXT MATE NARANJA CAFAYATE - 01 L - ALBA"</f>
        <v>CONSTRUCTOR INT/EXT MATE NARANJA CAFAYATE - 01 L - ALBA</v>
      </c>
      <c r="C1943">
        <v>9656.2199999999993</v>
      </c>
      <c r="D1943">
        <v>11684.026199999998</v>
      </c>
    </row>
    <row r="1944" spans="1:4" x14ac:dyDescent="0.25">
      <c r="A1944" t="str">
        <f>"03009"</f>
        <v>03009</v>
      </c>
      <c r="B1944" t="str">
        <f>"CONSTRUCTOR INT/EXT MATE NARANJA CAFAYATE - 4 L - ALBA"</f>
        <v>CONSTRUCTOR INT/EXT MATE NARANJA CAFAYATE - 4 L - ALBA</v>
      </c>
      <c r="C1944">
        <v>31381.7</v>
      </c>
      <c r="D1944">
        <v>37971.856999999996</v>
      </c>
    </row>
    <row r="1945" spans="1:4" x14ac:dyDescent="0.25">
      <c r="A1945" t="str">
        <f>"03010"</f>
        <v>03010</v>
      </c>
      <c r="B1945" t="str">
        <f>"CONSTRUCTOR INT/EXT MATE BEIGE URBANO - 01 L - ALBA"</f>
        <v>CONSTRUCTOR INT/EXT MATE BEIGE URBANO - 01 L - ALBA</v>
      </c>
      <c r="C1945">
        <v>9656.2199999999993</v>
      </c>
      <c r="D1945">
        <v>11684.026199999998</v>
      </c>
    </row>
    <row r="1946" spans="1:4" x14ac:dyDescent="0.25">
      <c r="A1946" t="str">
        <f>"03011"</f>
        <v>03011</v>
      </c>
      <c r="B1946" t="str">
        <f>"CONSTRUCTOR INT/EXT MATE BEIGE URBANO - 4 L - ALBA"</f>
        <v>CONSTRUCTOR INT/EXT MATE BEIGE URBANO - 4 L - ALBA</v>
      </c>
      <c r="C1946">
        <v>31381.7</v>
      </c>
      <c r="D1946">
        <v>37971.856999999996</v>
      </c>
    </row>
    <row r="1947" spans="1:4" x14ac:dyDescent="0.25">
      <c r="A1947" t="str">
        <f>"03012"</f>
        <v>03012</v>
      </c>
      <c r="B1947" t="str">
        <f>"CONSTRUCTOR INT/EXT MATE ROJO CHAQUEÑO - 01 L - ALBA"</f>
        <v>CONSTRUCTOR INT/EXT MATE ROJO CHAQUEÑO - 01 L - ALBA</v>
      </c>
      <c r="C1947">
        <v>9656.2199999999993</v>
      </c>
      <c r="D1947">
        <v>11684.026199999998</v>
      </c>
    </row>
    <row r="1948" spans="1:4" x14ac:dyDescent="0.25">
      <c r="A1948" t="str">
        <f>"03013"</f>
        <v>03013</v>
      </c>
      <c r="B1948" t="str">
        <f>"CONSTRUCTOR INT/EXT MATE ROJO CHAQUEÑO - 4 L - ALBA"</f>
        <v>CONSTRUCTOR INT/EXT MATE ROJO CHAQUEÑO - 4 L - ALBA</v>
      </c>
      <c r="C1948">
        <v>31381.7</v>
      </c>
      <c r="D1948">
        <v>37971.856999999996</v>
      </c>
    </row>
    <row r="1949" spans="1:4" x14ac:dyDescent="0.25">
      <c r="A1949" t="str">
        <f>"03014"</f>
        <v>03014</v>
      </c>
      <c r="B1949" t="str">
        <f>"CONSTRUCTOR INT/EXT MATE VERDE PAMPEANO - 01 L - ALBA"</f>
        <v>CONSTRUCTOR INT/EXT MATE VERDE PAMPEANO - 01 L - ALBA</v>
      </c>
      <c r="C1949">
        <v>9656.2199999999993</v>
      </c>
      <c r="D1949">
        <v>11684.026199999998</v>
      </c>
    </row>
    <row r="1950" spans="1:4" x14ac:dyDescent="0.25">
      <c r="A1950" t="str">
        <f>"03015"</f>
        <v>03015</v>
      </c>
      <c r="B1950" t="str">
        <f>"CONSTRUCTOR INT/EXT MATE VERDE PAMPEANO - 4 L - ALBA"</f>
        <v>CONSTRUCTOR INT/EXT MATE VERDE PAMPEANO - 4 L - ALBA</v>
      </c>
      <c r="C1950">
        <v>31381.7</v>
      </c>
      <c r="D1950">
        <v>37971.856999999996</v>
      </c>
    </row>
    <row r="1951" spans="1:4" x14ac:dyDescent="0.25">
      <c r="A1951" t="str">
        <f>"03016"</f>
        <v>03016</v>
      </c>
      <c r="B1951" t="str">
        <f>"CONSTRUCTOR INT/EXT MATE VIOLETA CUYO - 01 L - ALBA"</f>
        <v>CONSTRUCTOR INT/EXT MATE VIOLETA CUYO - 01 L - ALBA</v>
      </c>
      <c r="C1951">
        <v>9656.2199999999993</v>
      </c>
      <c r="D1951">
        <v>11684.026199999998</v>
      </c>
    </row>
    <row r="1952" spans="1:4" x14ac:dyDescent="0.25">
      <c r="A1952" t="str">
        <f>"03017"</f>
        <v>03017</v>
      </c>
      <c r="B1952" t="str">
        <f>"CONSTRUCTOR INT/EXT MATE VIOLETA CUYO - 4 L - ALBA"</f>
        <v>CONSTRUCTOR INT/EXT MATE VIOLETA CUYO - 4 L - ALBA</v>
      </c>
      <c r="C1952">
        <v>31381.7</v>
      </c>
      <c r="D1952">
        <v>37971.856999999996</v>
      </c>
    </row>
    <row r="1953" spans="1:4" x14ac:dyDescent="0.25">
      <c r="A1953" t="str">
        <f>"03018"</f>
        <v>03018</v>
      </c>
      <c r="B1953" t="str">
        <f>"CONSTRUCTOR INT/EXT MATE GRIS PATAGONICO - 01 L - ALBA"</f>
        <v>CONSTRUCTOR INT/EXT MATE GRIS PATAGONICO - 01 L - ALBA</v>
      </c>
      <c r="C1953">
        <v>9656.2199999999993</v>
      </c>
      <c r="D1953">
        <v>11684.026199999998</v>
      </c>
    </row>
    <row r="1954" spans="1:4" x14ac:dyDescent="0.25">
      <c r="A1954" t="str">
        <f>"03019"</f>
        <v>03019</v>
      </c>
      <c r="B1954" t="str">
        <f>"CONSTRUCTOR INT/EXT MATE GRIS PATAGONICO - 4 L - ALBA"</f>
        <v>CONSTRUCTOR INT/EXT MATE GRIS PATAGONICO - 4 L - ALBA</v>
      </c>
      <c r="C1954">
        <v>31381.7</v>
      </c>
      <c r="D1954">
        <v>37971.856999999996</v>
      </c>
    </row>
    <row r="1955" spans="1:4" x14ac:dyDescent="0.25">
      <c r="A1955" t="str">
        <f>"03020"</f>
        <v>03020</v>
      </c>
      <c r="B1955" t="str">
        <f>"CONSTRUCTOR INT/EXT MATE AZUL GLACIAR - 01 L - ALBA"</f>
        <v>CONSTRUCTOR INT/EXT MATE AZUL GLACIAR - 01 L - ALBA</v>
      </c>
      <c r="C1955">
        <v>9656.2199999999993</v>
      </c>
      <c r="D1955">
        <v>11684.026199999998</v>
      </c>
    </row>
    <row r="1956" spans="1:4" x14ac:dyDescent="0.25">
      <c r="A1956" t="str">
        <f>"03021"</f>
        <v>03021</v>
      </c>
      <c r="B1956" t="str">
        <f>"CONSTRUCTOR INT/EXT MATE AZUL GLACIAR - 4 L - ALBA"</f>
        <v>CONSTRUCTOR INT/EXT MATE AZUL GLACIAR - 4 L - ALBA</v>
      </c>
      <c r="C1956">
        <v>31381.7</v>
      </c>
      <c r="D1956">
        <v>37971.856999999996</v>
      </c>
    </row>
    <row r="1957" spans="1:4" x14ac:dyDescent="0.25">
      <c r="A1957" t="str">
        <f>"03022"</f>
        <v>03022</v>
      </c>
      <c r="B1957" t="str">
        <f>"CONSTRUCTOR INT/EXT MATE GRIS ANDINO - 01 L - ALBA"</f>
        <v>CONSTRUCTOR INT/EXT MATE GRIS ANDINO - 01 L - ALBA</v>
      </c>
      <c r="C1957">
        <v>9656.2199999999993</v>
      </c>
      <c r="D1957">
        <v>11684.026199999998</v>
      </c>
    </row>
    <row r="1958" spans="1:4" x14ac:dyDescent="0.25">
      <c r="A1958" t="str">
        <f>"03023"</f>
        <v>03023</v>
      </c>
      <c r="B1958" t="str">
        <f>"CONSTRUCTOR INT/EXT MATE GRIS ANDINO - 4 L - ALBA"</f>
        <v>CONSTRUCTOR INT/EXT MATE GRIS ANDINO - 4 L - ALBA</v>
      </c>
      <c r="C1958">
        <v>31381.7</v>
      </c>
      <c r="D1958">
        <v>37971.856999999996</v>
      </c>
    </row>
    <row r="1959" spans="1:4" x14ac:dyDescent="0.25">
      <c r="A1959" t="str">
        <f>"03024"</f>
        <v>03024</v>
      </c>
      <c r="B1959" t="str">
        <f>"DURALBA TECHOS FIB TRANSITABLE BLANCO - 20 KG - ALBA"</f>
        <v>DURALBA TECHOS FIB TRANSITABLE BLANCO - 20 KG - ALBA</v>
      </c>
      <c r="C1959">
        <v>183661.93</v>
      </c>
      <c r="D1959">
        <v>222230.93529999998</v>
      </c>
    </row>
    <row r="1960" spans="1:4" x14ac:dyDescent="0.25">
      <c r="A1960" t="str">
        <f>"03025"</f>
        <v>03025</v>
      </c>
      <c r="B1960" t="str">
        <f>"AM PLUS MM Q326 - SIKKENS"</f>
        <v>AM PLUS MM Q326 - SIKKENS</v>
      </c>
      <c r="C1960">
        <v>133675.89000000001</v>
      </c>
      <c r="D1960">
        <v>161747.82690000001</v>
      </c>
    </row>
    <row r="1961" spans="1:4" x14ac:dyDescent="0.25">
      <c r="A1961" t="str">
        <f>"03026"</f>
        <v>03026</v>
      </c>
      <c r="B1961" t="str">
        <f>"AM PLUS MM Q652 - SIKKENS"</f>
        <v>AM PLUS MM Q652 - SIKKENS</v>
      </c>
      <c r="C1961">
        <v>133675.89000000001</v>
      </c>
      <c r="D1961">
        <v>161747.82690000001</v>
      </c>
    </row>
    <row r="1962" spans="1:4" x14ac:dyDescent="0.25">
      <c r="A1962" t="str">
        <f>"03028"</f>
        <v>03028</v>
      </c>
      <c r="B1962" t="str">
        <f>"BASE PU ACR. AZUL ESVERDIADO  -  BPA197-3.6  -  FARBEN"</f>
        <v>BASE PU ACR. AZUL ESVERDIADO  -  BPA197-3.6  -  FARBEN</v>
      </c>
      <c r="C1962">
        <v>85294.8</v>
      </c>
      <c r="D1962">
        <v>103206.708</v>
      </c>
    </row>
    <row r="1963" spans="1:4" x14ac:dyDescent="0.25">
      <c r="A1963" t="str">
        <f>"03029"</f>
        <v>03029</v>
      </c>
      <c r="B1963" t="str">
        <f>"PISCINAS MEMBRANA LIQUITECH X 4L CELESTE - MERCLIN"</f>
        <v>PISCINAS MEMBRANA LIQUITECH X 4L CELESTE - MERCLIN</v>
      </c>
      <c r="C1963">
        <v>51158.22</v>
      </c>
      <c r="D1963">
        <v>61901.446199999998</v>
      </c>
    </row>
    <row r="1964" spans="1:4" x14ac:dyDescent="0.25">
      <c r="A1964" t="str">
        <f>"03030"</f>
        <v>03030</v>
      </c>
      <c r="B1964" t="str">
        <f>"AEROSOL LINEA JOVEN-CELESTE BEBE POR 240 CC - DISTINCION"</f>
        <v>AEROSOL LINEA JOVEN-CELESTE BEBE POR 240 CC - DISTINCION</v>
      </c>
      <c r="C1964">
        <v>4351.51</v>
      </c>
      <c r="D1964">
        <v>5265.3271000000004</v>
      </c>
    </row>
    <row r="1965" spans="1:4" x14ac:dyDescent="0.25">
      <c r="A1965" t="str">
        <f>"03031"</f>
        <v>03031</v>
      </c>
      <c r="B1965" t="str">
        <f>"AEROSOL LINEA JOVEN-ROSA BEBE POR 240 CC - DISTINCION"</f>
        <v>AEROSOL LINEA JOVEN-ROSA BEBE POR 240 CC - DISTINCION</v>
      </c>
      <c r="C1965">
        <v>4351.51</v>
      </c>
      <c r="D1965">
        <v>5265.3271000000004</v>
      </c>
    </row>
    <row r="1966" spans="1:4" x14ac:dyDescent="0.25">
      <c r="A1966" t="str">
        <f>"03033"</f>
        <v>03033</v>
      </c>
      <c r="B1966" t="str">
        <f>"ESMALTE LINEA JOVEN-VERDE LIMA X 4L - DISTINCION"</f>
        <v>ESMALTE LINEA JOVEN-VERDE LIMA X 4L - DISTINCION</v>
      </c>
      <c r="C1966">
        <v>43482.95</v>
      </c>
      <c r="D1966">
        <v>52614.369499999993</v>
      </c>
    </row>
    <row r="1967" spans="1:4" x14ac:dyDescent="0.25">
      <c r="A1967" t="str">
        <f>"03041"</f>
        <v>03041</v>
      </c>
      <c r="B1967" t="str">
        <f>"RODILLO FOAM N° 16- GALGO"</f>
        <v>RODILLO FOAM N° 16- GALGO</v>
      </c>
      <c r="C1967">
        <v>5310.36</v>
      </c>
      <c r="D1967">
        <v>6425.5355999999992</v>
      </c>
    </row>
    <row r="1968" spans="1:4" x14ac:dyDescent="0.25">
      <c r="A1968" t="str">
        <f>"03042"</f>
        <v>03042</v>
      </c>
      <c r="B1968" t="str">
        <f>"BICAPA DE WANDA - AMARILLO"</f>
        <v>BICAPA DE WANDA - AMARILLO</v>
      </c>
      <c r="C1968">
        <v>72784.070000000007</v>
      </c>
      <c r="D1968">
        <v>88068.724700000006</v>
      </c>
    </row>
    <row r="1969" spans="1:4" x14ac:dyDescent="0.25">
      <c r="A1969" t="str">
        <f>"03043"</f>
        <v>03043</v>
      </c>
      <c r="B1969" t="str">
        <f>"BICAPA DE WANDA - VIOLETA"</f>
        <v>BICAPA DE WANDA - VIOLETA</v>
      </c>
      <c r="C1969">
        <v>57682.5</v>
      </c>
      <c r="D1969">
        <v>69795.824999999997</v>
      </c>
    </row>
    <row r="1970" spans="1:4" x14ac:dyDescent="0.25">
      <c r="A1970" t="str">
        <f>"03044"</f>
        <v>03044</v>
      </c>
      <c r="B1970" t="str">
        <f>"LIJA TELA ESMERIL 3M N150 - 3M"</f>
        <v>LIJA TELA ESMERIL 3M N150 - 3M</v>
      </c>
      <c r="C1970">
        <v>991.44</v>
      </c>
      <c r="D1970">
        <v>1199.6424</v>
      </c>
    </row>
    <row r="1971" spans="1:4" x14ac:dyDescent="0.25">
      <c r="A1971" t="str">
        <f>"03045"</f>
        <v>03045</v>
      </c>
      <c r="B1971" t="str">
        <f>"LIJA DISCO A275 N1000 - NORTON"</f>
        <v>LIJA DISCO A275 N1000 - NORTON</v>
      </c>
      <c r="C1971">
        <v>1141.24</v>
      </c>
      <c r="D1971">
        <v>1380.9004</v>
      </c>
    </row>
    <row r="1972" spans="1:4" x14ac:dyDescent="0.25">
      <c r="A1972" t="str">
        <f>"03046"</f>
        <v>03046</v>
      </c>
      <c r="B1972" t="str">
        <f>"LIJA DISCO A275 N1200 - NORTON"</f>
        <v>LIJA DISCO A275 N1200 - NORTON</v>
      </c>
      <c r="C1972">
        <v>1141.24</v>
      </c>
      <c r="D1972">
        <v>1380.9004</v>
      </c>
    </row>
    <row r="1973" spans="1:4" x14ac:dyDescent="0.25">
      <c r="A1973" t="str">
        <f>"03047"</f>
        <v>03047</v>
      </c>
      <c r="B1973" t="str">
        <f>"LIJA ROLLO NORTON N100 -  NORTON"</f>
        <v>LIJA ROLLO NORTON N100 -  NORTON</v>
      </c>
      <c r="C1973">
        <v>66596.67</v>
      </c>
      <c r="D1973">
        <v>80581.970699999991</v>
      </c>
    </row>
    <row r="1974" spans="1:4" x14ac:dyDescent="0.25">
      <c r="A1974" t="str">
        <f>"03048"</f>
        <v>03048</v>
      </c>
      <c r="B1974" t="str">
        <f>"LIJA ROLLO NORTON N220 -  COD 31686 NORTON"</f>
        <v>LIJA ROLLO NORTON N220 -  COD 31686 NORTON</v>
      </c>
      <c r="C1974">
        <v>81396.759999999995</v>
      </c>
      <c r="D1974">
        <v>98490.079599999997</v>
      </c>
    </row>
    <row r="1975" spans="1:4" x14ac:dyDescent="0.25">
      <c r="A1975" t="str">
        <f>"03050"</f>
        <v>03050</v>
      </c>
      <c r="B1975" t="str">
        <f>"TACO MULTI AIR 70X125MM - NORTON"</f>
        <v>TACO MULTI AIR 70X125MM - NORTON</v>
      </c>
      <c r="C1975">
        <v>114065.62</v>
      </c>
      <c r="D1975">
        <v>138019.4002</v>
      </c>
    </row>
    <row r="1976" spans="1:4" x14ac:dyDescent="0.25">
      <c r="A1976" t="str">
        <f>"03054"</f>
        <v>03054</v>
      </c>
      <c r="B1976" t="str">
        <f>"AEROSOL LLANTAS  - RINES ACERO - RUST OLEUM"</f>
        <v>AEROSOL LLANTAS  - RINES ACERO - RUST OLEUM</v>
      </c>
      <c r="C1976">
        <v>30855.65</v>
      </c>
      <c r="D1976">
        <v>37335.336499999998</v>
      </c>
    </row>
    <row r="1977" spans="1:4" x14ac:dyDescent="0.25">
      <c r="A1977" t="str">
        <f>"03055"</f>
        <v>03055</v>
      </c>
      <c r="B1977" t="str">
        <f>"AEROSOL LACQUER LACA TRANSPARENTE BRILLANTE - RUST OLEUM"</f>
        <v>AEROSOL LACQUER LACA TRANSPARENTE BRILLANTE - RUST OLEUM</v>
      </c>
      <c r="C1977">
        <v>27576.959999999999</v>
      </c>
      <c r="D1977">
        <v>33368.121599999999</v>
      </c>
    </row>
    <row r="1978" spans="1:4" x14ac:dyDescent="0.25">
      <c r="A1978" t="str">
        <f>"03056"</f>
        <v>03056</v>
      </c>
      <c r="B1978" t="str">
        <f>"AEROSOL LEAKSEAL SELLADOR DE GRIETAS - RUST OLEUM"</f>
        <v>AEROSOL LEAKSEAL SELLADOR DE GRIETAS - RUST OLEUM</v>
      </c>
      <c r="C1978">
        <v>21605.67</v>
      </c>
      <c r="D1978">
        <v>26142.860699999997</v>
      </c>
    </row>
    <row r="1979" spans="1:4" x14ac:dyDescent="0.25">
      <c r="A1979" t="str">
        <f>"03057"</f>
        <v>03057</v>
      </c>
      <c r="B1979" t="str">
        <f>"CREART HIDRO ESMALTE PERLADO X 1L - SINTEPLAST"</f>
        <v>CREART HIDRO ESMALTE PERLADO X 1L - SINTEPLAST</v>
      </c>
      <c r="C1979">
        <v>27427.27</v>
      </c>
      <c r="D1979">
        <v>33186.996699999996</v>
      </c>
    </row>
    <row r="1980" spans="1:4" x14ac:dyDescent="0.25">
      <c r="A1980" t="str">
        <f>"03058"</f>
        <v>03058</v>
      </c>
      <c r="B1980" t="str">
        <f>"CREARTT HIDRO ESMALTE PERLADO X 4L - SINTEPLAST"</f>
        <v>CREARTT HIDRO ESMALTE PERLADO X 4L - SINTEPLAST</v>
      </c>
      <c r="C1980">
        <v>100554.72</v>
      </c>
      <c r="D1980">
        <v>121671.21119999999</v>
      </c>
    </row>
    <row r="1981" spans="1:4" x14ac:dyDescent="0.25">
      <c r="A1981" t="str">
        <f>"03059"</f>
        <v>03059</v>
      </c>
      <c r="B1981" t="str">
        <f>"COMPUESTO LUSTRE MANUAL PASO 3 0.9 L - SINTEPLAST"</f>
        <v>COMPUESTO LUSTRE MANUAL PASO 3 0.9 L - SINTEPLAST</v>
      </c>
      <c r="C1981">
        <v>14145.12</v>
      </c>
      <c r="D1981">
        <v>17115.5952</v>
      </c>
    </row>
    <row r="1982" spans="1:4" x14ac:dyDescent="0.25">
      <c r="A1982" t="str">
        <f>"03060"</f>
        <v>03060</v>
      </c>
      <c r="B1982" t="str">
        <f>"FORESTA ADVANCE IMPREGNANTE CAOBA SATINADO X 1L - SINTEPLAST"</f>
        <v>FORESTA ADVANCE IMPREGNANTE CAOBA SATINADO X 1L - SINTEPLAST</v>
      </c>
      <c r="C1982">
        <v>8928.92</v>
      </c>
      <c r="D1982">
        <v>10803.993199999999</v>
      </c>
    </row>
    <row r="1983" spans="1:4" x14ac:dyDescent="0.25">
      <c r="A1983" t="str">
        <f>"03061"</f>
        <v>03061</v>
      </c>
      <c r="B1983" t="str">
        <f>"FERROXIN EFECTO RUSTICO BASE PLATA X 4L - SINTEPLAST"</f>
        <v>FERROXIN EFECTO RUSTICO BASE PLATA X 4L - SINTEPLAST</v>
      </c>
      <c r="C1983">
        <v>52048.46</v>
      </c>
      <c r="D1983">
        <v>62978.636599999998</v>
      </c>
    </row>
    <row r="1984" spans="1:4" x14ac:dyDescent="0.25">
      <c r="A1984" t="str">
        <f>"03062"</f>
        <v>03062</v>
      </c>
      <c r="B1984" t="str">
        <f>"AEROSOL TOKE LLANTA ALUMINIO  X 283G - TOKE"</f>
        <v>AEROSOL TOKE LLANTA ALUMINIO  X 283G - TOKE</v>
      </c>
      <c r="C1984">
        <v>13111.4</v>
      </c>
      <c r="D1984">
        <v>15864.794</v>
      </c>
    </row>
    <row r="1985" spans="1:4" x14ac:dyDescent="0.25">
      <c r="A1985" t="str">
        <f>"03063"</f>
        <v>03063</v>
      </c>
      <c r="B1985" t="str">
        <f>"AEROSOL TOKE EPOXI NEGRO 283G - TOKE"</f>
        <v>AEROSOL TOKE EPOXI NEGRO 283G - TOKE</v>
      </c>
      <c r="C1985">
        <v>16583.490000000002</v>
      </c>
      <c r="D1985">
        <v>20066.0229</v>
      </c>
    </row>
    <row r="1986" spans="1:4" x14ac:dyDescent="0.25">
      <c r="A1986" t="str">
        <f>"03064"</f>
        <v>03064</v>
      </c>
      <c r="B1986" t="str">
        <f>"TEXTURADO CLASICO MEDIANO NUEZ X 25KG - VENEZIA"</f>
        <v>TEXTURADO CLASICO MEDIANO NUEZ X 25KG - VENEZIA</v>
      </c>
      <c r="C1986">
        <v>102445.45</v>
      </c>
      <c r="D1986">
        <v>123958.99449999999</v>
      </c>
    </row>
    <row r="1987" spans="1:4" x14ac:dyDescent="0.25">
      <c r="A1987" t="str">
        <f>"03066"</f>
        <v>03066</v>
      </c>
      <c r="B1987" t="str">
        <f>"AEROSOL NARANJA X 200 ML - TEKBOND"</f>
        <v>AEROSOL NARANJA X 200 ML - TEKBOND</v>
      </c>
      <c r="C1987">
        <v>2556.9499999999998</v>
      </c>
      <c r="D1987">
        <v>3093.9094999999998</v>
      </c>
    </row>
    <row r="1988" spans="1:4" x14ac:dyDescent="0.25">
      <c r="A1988" t="str">
        <f>"03067"</f>
        <v>03067</v>
      </c>
      <c r="B1988" t="str">
        <f>"AEROSOL AZUL X 200 ML - TEKBOND"</f>
        <v>AEROSOL AZUL X 200 ML - TEKBOND</v>
      </c>
      <c r="C1988">
        <v>2556.9499999999998</v>
      </c>
      <c r="D1988">
        <v>3093.9094999999998</v>
      </c>
    </row>
    <row r="1989" spans="1:4" x14ac:dyDescent="0.25">
      <c r="A1989" t="str">
        <f>"03068"</f>
        <v>03068</v>
      </c>
      <c r="B1989" t="str">
        <f>"AEROSOL VERDE X 200 ML - TEKBOND"</f>
        <v>AEROSOL VERDE X 200 ML - TEKBOND</v>
      </c>
      <c r="C1989">
        <v>2556.9499999999998</v>
      </c>
      <c r="D1989">
        <v>3093.9094999999998</v>
      </c>
    </row>
    <row r="1990" spans="1:4" x14ac:dyDescent="0.25">
      <c r="A1990" t="str">
        <f>"03069"</f>
        <v>03069</v>
      </c>
      <c r="B1990" t="str">
        <f>"AEROSOL BLANCO MATE X 200 ML - TEKBOND"</f>
        <v>AEROSOL BLANCO MATE X 200 ML - TEKBOND</v>
      </c>
      <c r="C1990">
        <v>2556.9499999999998</v>
      </c>
      <c r="D1990">
        <v>3093.9094999999998</v>
      </c>
    </row>
    <row r="1991" spans="1:4" x14ac:dyDescent="0.25">
      <c r="A1991" t="str">
        <f>"03070"</f>
        <v>03070</v>
      </c>
      <c r="B1991" t="str">
        <f>"AEROSOL BLANCO MATE X 350 ML - TEKBOND"</f>
        <v>AEROSOL BLANCO MATE X 350 ML - TEKBOND</v>
      </c>
      <c r="C1991">
        <v>4036.91</v>
      </c>
      <c r="D1991">
        <v>4884.6610999999994</v>
      </c>
    </row>
    <row r="1992" spans="1:4" x14ac:dyDescent="0.25">
      <c r="A1992" t="str">
        <f>"03072"</f>
        <v>03072</v>
      </c>
      <c r="B1992" t="str">
        <f>"AEROSOL GRIS HIELO X 200 ML - TEKBOND"</f>
        <v>AEROSOL GRIS HIELO X 200 ML - TEKBOND</v>
      </c>
      <c r="C1992">
        <v>2556.9499999999998</v>
      </c>
      <c r="D1992">
        <v>3093.9094999999998</v>
      </c>
    </row>
    <row r="1993" spans="1:4" x14ac:dyDescent="0.25">
      <c r="A1993" t="str">
        <f>"03073"</f>
        <v>03073</v>
      </c>
      <c r="B1993" t="str">
        <f>"AEROSOL BLANCO BRILLANTE X 200 ML - TEKBOND"</f>
        <v>AEROSOL BLANCO BRILLANTE X 200 ML - TEKBOND</v>
      </c>
      <c r="C1993">
        <v>2556.9499999999998</v>
      </c>
      <c r="D1993">
        <v>3093.9094999999998</v>
      </c>
    </row>
    <row r="1994" spans="1:4" x14ac:dyDescent="0.25">
      <c r="A1994" t="str">
        <f>"03074"</f>
        <v>03074</v>
      </c>
      <c r="B1994" t="str">
        <f>"AEROSOL ALUMINIO X 200 ML - TEKBOND"</f>
        <v>AEROSOL ALUMINIO X 200 ML - TEKBOND</v>
      </c>
      <c r="C1994">
        <v>2556.9499999999998</v>
      </c>
      <c r="D1994">
        <v>3093.9094999999998</v>
      </c>
    </row>
    <row r="1995" spans="1:4" x14ac:dyDescent="0.25">
      <c r="A1995" t="str">
        <f>"03075"</f>
        <v>03075</v>
      </c>
      <c r="B1995" t="str">
        <f>"AEROSOL GRAFITO X 200 ML - TEKBOND"</f>
        <v>AEROSOL GRAFITO X 200 ML - TEKBOND</v>
      </c>
      <c r="C1995">
        <v>2556.9499999999998</v>
      </c>
      <c r="D1995">
        <v>3093.9094999999998</v>
      </c>
    </row>
    <row r="1996" spans="1:4" x14ac:dyDescent="0.25">
      <c r="A1996" t="str">
        <f>"03076"</f>
        <v>03076</v>
      </c>
      <c r="B1996" t="str">
        <f>"SELLADOR PREG FACIL AGUA BLANCO X 140 GR"</f>
        <v>SELLADOR PREG FACIL AGUA BLANCO X 140 GR</v>
      </c>
      <c r="C1996">
        <v>2970</v>
      </c>
      <c r="D1996">
        <v>3593.7</v>
      </c>
    </row>
    <row r="1997" spans="1:4" x14ac:dyDescent="0.25">
      <c r="A1997" t="str">
        <f>"03077"</f>
        <v>03077</v>
      </c>
      <c r="B1997" t="str">
        <f>"LUBRICANTE MULTIUSO X 300 ML - TEKBOND"</f>
        <v>LUBRICANTE MULTIUSO X 300 ML - TEKBOND</v>
      </c>
      <c r="C1997">
        <v>5923.5</v>
      </c>
      <c r="D1997">
        <v>7167.4349999999995</v>
      </c>
    </row>
    <row r="1998" spans="1:4" x14ac:dyDescent="0.25">
      <c r="A1998" t="str">
        <f>"03078"</f>
        <v>03078</v>
      </c>
      <c r="B1998" t="str">
        <f>"HOJA TELA ESMERIL K246 N60 - NORTON"</f>
        <v>HOJA TELA ESMERIL K246 N60 - NORTON</v>
      </c>
      <c r="C1998">
        <v>1396.06</v>
      </c>
      <c r="D1998">
        <v>1689.2325999999998</v>
      </c>
    </row>
    <row r="1999" spans="1:4" x14ac:dyDescent="0.25">
      <c r="A1999" t="str">
        <f>"03080"</f>
        <v>03080</v>
      </c>
      <c r="B1999" t="str">
        <f>"DURALBA TECHOS FIB TRANSITABLE VERDE - 20 KG - ALBA"</f>
        <v>DURALBA TECHOS FIB TRANSITABLE VERDE - 20 KG - ALBA</v>
      </c>
      <c r="C1999">
        <v>183661.93</v>
      </c>
      <c r="D1999">
        <v>222230.93529999998</v>
      </c>
    </row>
    <row r="2000" spans="1:4" x14ac:dyDescent="0.25">
      <c r="A2000" t="str">
        <f>"03081"</f>
        <v>03081</v>
      </c>
      <c r="B2000" t="str">
        <f>"DURALBA TECHOS MULTISUPERF BLANCO - 24 KG - ALBA"</f>
        <v>DURALBA TECHOS MULTISUPERF BLANCO - 24 KG - ALBA</v>
      </c>
      <c r="C2000">
        <v>173266.61</v>
      </c>
      <c r="D2000">
        <v>209652.59809999997</v>
      </c>
    </row>
    <row r="2001" spans="1:4" x14ac:dyDescent="0.25">
      <c r="A2001" t="str">
        <f>"03082"</f>
        <v>03082</v>
      </c>
      <c r="B2001" t="str">
        <f>"DURALBA TECHOS MULTISUPERF BLANCO - 12 KG - ALBA"</f>
        <v>DURALBA TECHOS MULTISUPERF BLANCO - 12 KG - ALBA</v>
      </c>
      <c r="C2001">
        <v>97029.14</v>
      </c>
      <c r="D2001">
        <v>117405.2594</v>
      </c>
    </row>
    <row r="2002" spans="1:4" x14ac:dyDescent="0.25">
      <c r="A2002" t="str">
        <f>"03083"</f>
        <v>03083</v>
      </c>
      <c r="B2002" t="str">
        <f>"DURALBA TECHOS FIB TRANSITABLE BLANCO - 10 KG - ALBA"</f>
        <v>DURALBA TECHOS FIB TRANSITABLE BLANCO - 10 KG - ALBA</v>
      </c>
      <c r="C2002">
        <v>102850.19</v>
      </c>
      <c r="D2002">
        <v>124448.72990000001</v>
      </c>
    </row>
    <row r="2003" spans="1:4" x14ac:dyDescent="0.25">
      <c r="A2003" t="str">
        <f>"03084"</f>
        <v>03084</v>
      </c>
      <c r="B2003" t="str">
        <f>"DURALBA TECHOS FIB TRANSITABLE BLANCO - 4 KG - ALBA"</f>
        <v>DURALBA TECHOS FIB TRANSITABLE BLANCO - 4 KG - ALBA</v>
      </c>
      <c r="C2003">
        <v>47752.02</v>
      </c>
      <c r="D2003">
        <v>57779.944199999991</v>
      </c>
    </row>
    <row r="2004" spans="1:4" x14ac:dyDescent="0.25">
      <c r="A2004" t="str">
        <f>"03085"</f>
        <v>03085</v>
      </c>
      <c r="B2004" t="str">
        <f>"DURALBA TECHOS MULTISUPERF TEJA - 24 KG - ALBA"</f>
        <v>DURALBA TECHOS MULTISUPERF TEJA - 24 KG - ALBA</v>
      </c>
      <c r="C2004">
        <v>173266.61</v>
      </c>
      <c r="D2004">
        <v>209652.59809999997</v>
      </c>
    </row>
    <row r="2005" spans="1:4" x14ac:dyDescent="0.25">
      <c r="A2005" t="str">
        <f>"03086"</f>
        <v>03086</v>
      </c>
      <c r="B2005" t="str">
        <f>"DURALBA TECHOS MULTISUPERF VERDE - 20 KG - ALBA"</f>
        <v>DURALBA TECHOS MULTISUPERF VERDE - 20 KG - ALBA</v>
      </c>
      <c r="C2005">
        <v>173266.61</v>
      </c>
      <c r="D2005">
        <v>209652.59809999997</v>
      </c>
    </row>
    <row r="2006" spans="1:4" x14ac:dyDescent="0.25">
      <c r="A2006" t="str">
        <f>"03087"</f>
        <v>03087</v>
      </c>
      <c r="B2006" t="str">
        <f>"LLANA METALICA MANGO DE MADERA - EL GALGO"</f>
        <v>LLANA METALICA MANGO DE MADERA - EL GALGO</v>
      </c>
      <c r="C2006">
        <v>14148.95</v>
      </c>
      <c r="D2006">
        <v>17120.229500000001</v>
      </c>
    </row>
    <row r="2007" spans="1:4" x14ac:dyDescent="0.25">
      <c r="A2007" t="str">
        <f>"03088"</f>
        <v>03088</v>
      </c>
      <c r="B2007" t="str">
        <f>"LLANA METALICA MANGO PLASTICO 12X25 - LH"</f>
        <v>LLANA METALICA MANGO PLASTICO 12X25 - LH</v>
      </c>
      <c r="C2007">
        <v>6514.11</v>
      </c>
      <c r="D2007">
        <v>7882.0730999999996</v>
      </c>
    </row>
    <row r="2008" spans="1:4" x14ac:dyDescent="0.25">
      <c r="A2008" t="str">
        <f>"03090"</f>
        <v>03090</v>
      </c>
      <c r="B2008" t="str">
        <f>"DURALBA TECHOS MULTISUPERF TEJA - 12 KG - ALBA"</f>
        <v>DURALBA TECHOS MULTISUPERF TEJA - 12 KG - ALBA</v>
      </c>
      <c r="C2008">
        <v>97029.14</v>
      </c>
      <c r="D2008">
        <v>117405.2594</v>
      </c>
    </row>
    <row r="2009" spans="1:4" x14ac:dyDescent="0.25">
      <c r="A2009" t="str">
        <f>"03091"</f>
        <v>03091</v>
      </c>
      <c r="B2009" t="str">
        <f>"FIJADOR AL AGUA X 4 LTS - DISTINCION"</f>
        <v>FIJADOR AL AGUA X 4 LTS - DISTINCION</v>
      </c>
      <c r="C2009">
        <v>9619.89</v>
      </c>
      <c r="D2009">
        <v>11640.0669</v>
      </c>
    </row>
    <row r="2010" spans="1:4" x14ac:dyDescent="0.25">
      <c r="A2010" t="str">
        <f>"03092"</f>
        <v>03092</v>
      </c>
      <c r="B2010" t="str">
        <f>"DURALBA TECHOS FIB TRANSITABLE TEJA - 4 KG - ALBA"</f>
        <v>DURALBA TECHOS FIB TRANSITABLE TEJA - 4 KG - ALBA</v>
      </c>
      <c r="C2010">
        <v>47752.02</v>
      </c>
      <c r="D2010">
        <v>57779.944199999991</v>
      </c>
    </row>
    <row r="2011" spans="1:4" x14ac:dyDescent="0.25">
      <c r="A2011" t="str">
        <f>"03093"</f>
        <v>03093</v>
      </c>
      <c r="B2011" t="str">
        <f>"DURALBA TECHOS MULTISUPERF GRIS - 24 KG - ALBA"</f>
        <v>DURALBA TECHOS MULTISUPERF GRIS - 24 KG - ALBA</v>
      </c>
      <c r="C2011">
        <v>173266.61</v>
      </c>
      <c r="D2011">
        <v>209652.59809999997</v>
      </c>
    </row>
    <row r="2012" spans="1:4" x14ac:dyDescent="0.25">
      <c r="A2012" t="str">
        <f>"03094"</f>
        <v>03094</v>
      </c>
      <c r="B2012" t="str">
        <f>"DURALBA TECHOS MULTISUPERF BLANCO - 5 KG - ALBA"</f>
        <v>DURALBA TECHOS MULTISUPERF BLANCO - 5 KG - ALBA</v>
      </c>
      <c r="C2012">
        <v>45049.46</v>
      </c>
      <c r="D2012">
        <v>54509.846599999997</v>
      </c>
    </row>
    <row r="2013" spans="1:4" x14ac:dyDescent="0.25">
      <c r="A2013" t="str">
        <f>"03095"</f>
        <v>03095</v>
      </c>
      <c r="B2013" t="str">
        <f>"FLETES"</f>
        <v>FLETES</v>
      </c>
      <c r="C2013">
        <v>0</v>
      </c>
      <c r="D2013">
        <v>0</v>
      </c>
    </row>
    <row r="2014" spans="1:4" x14ac:dyDescent="0.25">
      <c r="A2014" t="str">
        <f>"03100"</f>
        <v>03100</v>
      </c>
      <c r="B2014" t="str">
        <f>"LACA POLIURETANICA PISO SAT (A+B) X 1L - SINTEPLAST"</f>
        <v>LACA POLIURETANICA PISO SAT (A+B) X 1L - SINTEPLAST</v>
      </c>
      <c r="C2014">
        <v>50112.21</v>
      </c>
      <c r="D2014">
        <v>60635.774099999995</v>
      </c>
    </row>
    <row r="2015" spans="1:4" x14ac:dyDescent="0.25">
      <c r="A2015" t="str">
        <f>"03101"</f>
        <v>03101</v>
      </c>
      <c r="B2015" t="str">
        <f>"LACA POLIURETANICA PISO SAT (A+B) X 4L - SINTEPLAST"</f>
        <v>LACA POLIURETANICA PISO SAT (A+B) X 4L - SINTEPLAST</v>
      </c>
      <c r="C2015">
        <v>185600.76</v>
      </c>
      <c r="D2015">
        <v>224576.91959999999</v>
      </c>
    </row>
    <row r="2016" spans="1:4" x14ac:dyDescent="0.25">
      <c r="A2016" t="str">
        <f>"03102"</f>
        <v>03102</v>
      </c>
      <c r="B2016" t="str">
        <f>"LACA POLIURETANICA PISO BRILLANTE (A+B) X 1L - SINTEPLAST"</f>
        <v>LACA POLIURETANICA PISO BRILLANTE (A+B) X 1L - SINTEPLAST</v>
      </c>
      <c r="C2016">
        <v>50112.21</v>
      </c>
      <c r="D2016">
        <v>60635.774099999995</v>
      </c>
    </row>
    <row r="2017" spans="1:4" x14ac:dyDescent="0.25">
      <c r="A2017" t="str">
        <f>"03103"</f>
        <v>03103</v>
      </c>
      <c r="B2017" t="str">
        <f>"LACA POLIURETANICA PISO BRILLANTE (A+B) X 4L - SINTEPLAST"</f>
        <v>LACA POLIURETANICA PISO BRILLANTE (A+B) X 4L - SINTEPLAST</v>
      </c>
      <c r="C2017">
        <v>185600.76</v>
      </c>
      <c r="D2017">
        <v>224576.91959999999</v>
      </c>
    </row>
    <row r="2018" spans="1:4" x14ac:dyDescent="0.25">
      <c r="A2018" t="str">
        <f>"03104"</f>
        <v>03104</v>
      </c>
      <c r="B2018" t="str">
        <f>"LIJA AL AGUA GRANO 80 - MOTA"</f>
        <v>LIJA AL AGUA GRANO 80 - MOTA</v>
      </c>
      <c r="C2018">
        <v>679.31</v>
      </c>
      <c r="D2018">
        <v>821.96509999999989</v>
      </c>
    </row>
    <row r="2019" spans="1:4" x14ac:dyDescent="0.25">
      <c r="A2019" t="str">
        <f>"03107"</f>
        <v>03107</v>
      </c>
      <c r="B2019" t="str">
        <f>"LIJA AL AGUA GRANO 180 - MOTA"</f>
        <v>LIJA AL AGUA GRANO 180 - MOTA</v>
      </c>
      <c r="C2019">
        <v>597.20000000000005</v>
      </c>
      <c r="D2019">
        <v>722.61200000000008</v>
      </c>
    </row>
    <row r="2020" spans="1:4" x14ac:dyDescent="0.25">
      <c r="A2020" t="str">
        <f>"03108"</f>
        <v>03108</v>
      </c>
      <c r="B2020" t="s">
        <v>2</v>
      </c>
      <c r="C2020">
        <v>3305.45</v>
      </c>
      <c r="D2020">
        <v>3999.5944999999997</v>
      </c>
    </row>
    <row r="2021" spans="1:4" x14ac:dyDescent="0.25">
      <c r="A2021" t="str">
        <f>"03109"</f>
        <v>03109</v>
      </c>
      <c r="B2021" t="s">
        <v>3</v>
      </c>
      <c r="C2021">
        <v>3500.44</v>
      </c>
      <c r="D2021">
        <v>4235.5324000000001</v>
      </c>
    </row>
    <row r="2022" spans="1:4" x14ac:dyDescent="0.25">
      <c r="A2022" t="str">
        <f>"03110"</f>
        <v>03110</v>
      </c>
      <c r="B2022" t="s">
        <v>4</v>
      </c>
      <c r="C2022">
        <v>3695.46</v>
      </c>
      <c r="D2022">
        <v>4471.5065999999997</v>
      </c>
    </row>
    <row r="2023" spans="1:4" x14ac:dyDescent="0.25">
      <c r="A2023" t="str">
        <f>"03111"</f>
        <v>03111</v>
      </c>
      <c r="B2023" t="s">
        <v>5</v>
      </c>
      <c r="C2023">
        <v>3890.45</v>
      </c>
      <c r="D2023">
        <v>4707.4444999999996</v>
      </c>
    </row>
    <row r="2024" spans="1:4" x14ac:dyDescent="0.25">
      <c r="A2024" t="str">
        <f>"03112"</f>
        <v>03112</v>
      </c>
      <c r="B2024" t="s">
        <v>6</v>
      </c>
      <c r="C2024">
        <v>4279.42</v>
      </c>
      <c r="D2024">
        <v>5178.0982000000004</v>
      </c>
    </row>
    <row r="2025" spans="1:4" x14ac:dyDescent="0.25">
      <c r="A2025" t="str">
        <f>"03113"</f>
        <v>03113</v>
      </c>
      <c r="B2025" t="s">
        <v>7</v>
      </c>
      <c r="C2025">
        <v>4688.18</v>
      </c>
      <c r="D2025">
        <v>5672.6977999999999</v>
      </c>
    </row>
    <row r="2026" spans="1:4" x14ac:dyDescent="0.25">
      <c r="A2026" t="str">
        <f>"03114"</f>
        <v>03114</v>
      </c>
      <c r="B2026" t="s">
        <v>8</v>
      </c>
      <c r="C2026">
        <v>5097.26</v>
      </c>
      <c r="D2026">
        <v>6167.6846000000005</v>
      </c>
    </row>
    <row r="2027" spans="1:4" x14ac:dyDescent="0.25">
      <c r="A2027" t="str">
        <f>"03115"</f>
        <v>03115</v>
      </c>
      <c r="B2027" t="str">
        <f>"ALBA ESM BRI DOBLE ACC MARRON - 04 L - ALBA"</f>
        <v>ALBA ESM BRI DOBLE ACC MARRON - 04 L - ALBA</v>
      </c>
      <c r="C2027">
        <v>33912.21</v>
      </c>
      <c r="D2027">
        <v>41033.774099999995</v>
      </c>
    </row>
    <row r="2028" spans="1:4" x14ac:dyDescent="0.25">
      <c r="A2028" t="str">
        <f>"03116"</f>
        <v>03116</v>
      </c>
      <c r="B2028" t="str">
        <f>"ALBA ESM BRI DOBLE ACC MARFIL SEDA- 04 L - ALBA"</f>
        <v>ALBA ESM BRI DOBLE ACC MARFIL SEDA- 04 L - ALBA</v>
      </c>
      <c r="C2028">
        <v>33912.21</v>
      </c>
      <c r="D2028">
        <v>41033.774099999995</v>
      </c>
    </row>
    <row r="2029" spans="1:4" x14ac:dyDescent="0.25">
      <c r="A2029" t="str">
        <f>"03117"</f>
        <v>03117</v>
      </c>
      <c r="B2029" t="str">
        <f>"ALBA ESM BRI DOBLE ACC CREMA - 04 L - ALBA"</f>
        <v>ALBA ESM BRI DOBLE ACC CREMA - 04 L - ALBA</v>
      </c>
      <c r="C2029">
        <v>33912.21</v>
      </c>
      <c r="D2029">
        <v>41033.774099999995</v>
      </c>
    </row>
    <row r="2030" spans="1:4" x14ac:dyDescent="0.25">
      <c r="A2030" t="str">
        <f>"03118"</f>
        <v>03118</v>
      </c>
      <c r="B2030" t="str">
        <f>"ALBA ESM BRI DOBLE ACC VERDE CLARO - 04 L - ALBA"</f>
        <v>ALBA ESM BRI DOBLE ACC VERDE CLARO - 04 L - ALBA</v>
      </c>
      <c r="C2030">
        <v>33912.21</v>
      </c>
      <c r="D2030">
        <v>41033.774099999995</v>
      </c>
    </row>
    <row r="2031" spans="1:4" x14ac:dyDescent="0.25">
      <c r="A2031" t="str">
        <f>"03119"</f>
        <v>03119</v>
      </c>
      <c r="B2031" t="str">
        <f>"ALBA CONVERT DE OXIDO GRIS - 500CC - ALBA"</f>
        <v>ALBA CONVERT DE OXIDO GRIS - 500CC - ALBA</v>
      </c>
      <c r="C2031">
        <v>7962.92</v>
      </c>
      <c r="D2031">
        <v>9635.1332000000002</v>
      </c>
    </row>
    <row r="2032" spans="1:4" x14ac:dyDescent="0.25">
      <c r="A2032" t="str">
        <f>"03122"</f>
        <v>03122</v>
      </c>
      <c r="B2032" t="str">
        <f>"MEMBRANA ULTRACAPA NEGRO X 1 LT - DISTINCION"</f>
        <v>MEMBRANA ULTRACAPA NEGRO X 1 LT - DISTINCION</v>
      </c>
      <c r="C2032">
        <v>7731.62</v>
      </c>
      <c r="D2032">
        <v>9355.2601999999988</v>
      </c>
    </row>
    <row r="2033" spans="1:4" x14ac:dyDescent="0.25">
      <c r="A2033" t="str">
        <f>"03123"</f>
        <v>03123</v>
      </c>
      <c r="B2033" t="str">
        <f>"DISCO FIBRA 180X22 GRANO N°50 F247 - NORTON"</f>
        <v>DISCO FIBRA 180X22 GRANO N°50 F247 - NORTON</v>
      </c>
      <c r="C2033">
        <v>3086.7</v>
      </c>
      <c r="D2033">
        <v>3734.9069999999997</v>
      </c>
    </row>
    <row r="2034" spans="1:4" x14ac:dyDescent="0.25">
      <c r="A2034" t="str">
        <f>"03124"</f>
        <v>03124</v>
      </c>
      <c r="B2034" t="str">
        <f>"LIJA FRATACHO INDASA N220"</f>
        <v>LIJA FRATACHO INDASA N220</v>
      </c>
      <c r="C2034">
        <v>1492.89</v>
      </c>
      <c r="D2034">
        <v>1806.3969</v>
      </c>
    </row>
    <row r="2035" spans="1:4" x14ac:dyDescent="0.25">
      <c r="A2035" t="str">
        <f>"03125"</f>
        <v>03125</v>
      </c>
      <c r="B2035" t="str">
        <f>"ALBAFRENT ACRILICO AZUL TRAFUL - 04 L - ALBA"</f>
        <v>ALBAFRENT ACRILICO AZUL TRAFUL - 04 L - ALBA</v>
      </c>
      <c r="C2035">
        <v>29484.61</v>
      </c>
      <c r="D2035">
        <v>35676.378100000002</v>
      </c>
    </row>
    <row r="2036" spans="1:4" x14ac:dyDescent="0.25">
      <c r="A2036" t="str">
        <f>"03126"</f>
        <v>03126</v>
      </c>
      <c r="B2036" t="str">
        <f>"ALBAFRENT ACRILICO AZUL NEGRO - 04 L - ALBA"</f>
        <v>ALBAFRENT ACRILICO AZUL NEGRO - 04 L - ALBA</v>
      </c>
      <c r="C2036">
        <v>29484.61</v>
      </c>
      <c r="D2036">
        <v>35676.378100000002</v>
      </c>
    </row>
    <row r="2037" spans="1:4" x14ac:dyDescent="0.25">
      <c r="A2037" t="str">
        <f>"03127"</f>
        <v>03127</v>
      </c>
      <c r="B2037" t="str">
        <f>"ALBAFRENT ACRILICO AZUL GRIS CEMENTO - 04 L - ALBA"</f>
        <v>ALBAFRENT ACRILICO AZUL GRIS CEMENTO - 04 L - ALBA</v>
      </c>
      <c r="C2037">
        <v>29484.61</v>
      </c>
      <c r="D2037">
        <v>35676.378100000002</v>
      </c>
    </row>
    <row r="2038" spans="1:4" x14ac:dyDescent="0.25">
      <c r="A2038" t="str">
        <f>"03128"</f>
        <v>03128</v>
      </c>
      <c r="B2038" t="str">
        <f>"ALBAFRENT ACRILICO AZUL ROJO TEJA - 04 L - ALBA"</f>
        <v>ALBAFRENT ACRILICO AZUL ROJO TEJA - 04 L - ALBA</v>
      </c>
      <c r="C2038">
        <v>29484.61</v>
      </c>
      <c r="D2038">
        <v>35676.378100000002</v>
      </c>
    </row>
    <row r="2039" spans="1:4" x14ac:dyDescent="0.25">
      <c r="A2039" t="str">
        <f>"03129"</f>
        <v>03129</v>
      </c>
      <c r="B2039" t="str">
        <f>"ALBAFRENT ACRILICO GRIS CEMENTO - 01 L - ALBA"</f>
        <v>ALBAFRENT ACRILICO GRIS CEMENTO - 01 L - ALBA</v>
      </c>
      <c r="C2039">
        <v>10335.43</v>
      </c>
      <c r="D2039">
        <v>12505.8703</v>
      </c>
    </row>
    <row r="2040" spans="1:4" x14ac:dyDescent="0.25">
      <c r="A2040" t="str">
        <f>"03130"</f>
        <v>03130</v>
      </c>
      <c r="B2040" t="str">
        <f>"LIJA ROBERLO GRANO N°2000 - ROBERLO"</f>
        <v>LIJA ROBERLO GRANO N°2000 - ROBERLO</v>
      </c>
      <c r="C2040">
        <v>1874.75</v>
      </c>
      <c r="D2040">
        <v>2268.4474999999998</v>
      </c>
    </row>
    <row r="2041" spans="1:4" x14ac:dyDescent="0.25">
      <c r="A2041" t="str">
        <f>"03131"</f>
        <v>03131</v>
      </c>
      <c r="B2041" t="str">
        <f>"LIJA ROBERLO GRANO N°2500 - ROBERLO"</f>
        <v>LIJA ROBERLO GRANO N°2500 - ROBERLO</v>
      </c>
      <c r="C2041">
        <v>1874.75</v>
      </c>
      <c r="D2041">
        <v>2268.4474999999998</v>
      </c>
    </row>
    <row r="2042" spans="1:4" x14ac:dyDescent="0.25">
      <c r="A2042" t="str">
        <f>"03132"</f>
        <v>03132</v>
      </c>
      <c r="B2042" t="str">
        <f>"LIJA SINTEPLAST GRANO N°240 - SINTEPLAST"</f>
        <v>LIJA SINTEPLAST GRANO N°240 - SINTEPLAST</v>
      </c>
      <c r="C2042">
        <v>584.1</v>
      </c>
      <c r="D2042">
        <v>706.76099999999997</v>
      </c>
    </row>
    <row r="2043" spans="1:4" x14ac:dyDescent="0.25">
      <c r="A2043" t="str">
        <f>"03134"</f>
        <v>03134</v>
      </c>
      <c r="B2043" t="str">
        <f>"LIJA SINTEPLAST GRANO N°320 - SINTEPLAST"</f>
        <v>LIJA SINTEPLAST GRANO N°320 - SINTEPLAST</v>
      </c>
      <c r="C2043">
        <v>584.1</v>
      </c>
      <c r="D2043">
        <v>706.76099999999997</v>
      </c>
    </row>
    <row r="2044" spans="1:4" x14ac:dyDescent="0.25">
      <c r="A2044" t="str">
        <f>"03135"</f>
        <v>03135</v>
      </c>
      <c r="B2044" t="str">
        <f>"LIJA SINTEPLAST GRANO N°500 - SINTEPLAST"</f>
        <v>LIJA SINTEPLAST GRANO N°500 - SINTEPLAST</v>
      </c>
      <c r="C2044">
        <v>584.1</v>
      </c>
      <c r="D2044">
        <v>706.76099999999997</v>
      </c>
    </row>
    <row r="2045" spans="1:4" x14ac:dyDescent="0.25">
      <c r="A2045" t="str">
        <f>"03136"</f>
        <v>03136</v>
      </c>
      <c r="B2045" t="str">
        <f>"LIJA SINTEPLAST GRANO N°800 - SINTEPLAST"</f>
        <v>LIJA SINTEPLAST GRANO N°800 - SINTEPLAST</v>
      </c>
      <c r="C2045">
        <v>584.1</v>
      </c>
      <c r="D2045">
        <v>706.76099999999997</v>
      </c>
    </row>
    <row r="2046" spans="1:4" x14ac:dyDescent="0.25">
      <c r="A2046" t="str">
        <f>"03137"</f>
        <v>03137</v>
      </c>
      <c r="B2046" t="str">
        <f>"LIJA SINTEPLAST GRANO N°2500 - SINTEPLAST"</f>
        <v>LIJA SINTEPLAST GRANO N°2500 - SINTEPLAST</v>
      </c>
      <c r="C2046">
        <v>1790.25</v>
      </c>
      <c r="D2046">
        <v>2166.2024999999999</v>
      </c>
    </row>
    <row r="2047" spans="1:4" x14ac:dyDescent="0.25">
      <c r="A2047" t="str">
        <f>"03138"</f>
        <v>03138</v>
      </c>
      <c r="B2047" t="str">
        <f>"ENTONADORES VARIOS X 120 ML - VARIOS"</f>
        <v>ENTONADORES VARIOS X 120 ML - VARIOS</v>
      </c>
      <c r="C2047">
        <v>3058.51</v>
      </c>
      <c r="D2047">
        <v>3700.7971000000002</v>
      </c>
    </row>
    <row r="2048" spans="1:4" x14ac:dyDescent="0.25">
      <c r="A2048" t="str">
        <f>"03139"</f>
        <v>03139</v>
      </c>
      <c r="B2048" t="str">
        <f>"ENTONADORES VARIOS X 30 ML - VARIOS"</f>
        <v>ENTONADORES VARIOS X 30 ML - VARIOS</v>
      </c>
      <c r="C2048">
        <v>968.48</v>
      </c>
      <c r="D2048">
        <v>1171.8607999999999</v>
      </c>
    </row>
    <row r="2049" spans="1:4" x14ac:dyDescent="0.25">
      <c r="A2049" t="str">
        <f>"03142"</f>
        <v>03142</v>
      </c>
      <c r="B2049" t="str">
        <f>"DISCO OXIDO DE ALUMINIO 115MM GRANO 120 - MOTA"</f>
        <v>DISCO OXIDO DE ALUMINIO 115MM GRANO 120 - MOTA</v>
      </c>
      <c r="C2049">
        <v>1701.73</v>
      </c>
      <c r="D2049">
        <v>2059.0933</v>
      </c>
    </row>
    <row r="2050" spans="1:4" x14ac:dyDescent="0.25">
      <c r="A2050" t="str">
        <f>"03144"</f>
        <v>03144</v>
      </c>
      <c r="B2050" t="s">
        <v>9</v>
      </c>
      <c r="C2050">
        <v>9040.65</v>
      </c>
      <c r="D2050">
        <v>10939.1865</v>
      </c>
    </row>
    <row r="2051" spans="1:4" x14ac:dyDescent="0.25">
      <c r="A2051" t="str">
        <f>"03145"</f>
        <v>03145</v>
      </c>
      <c r="B2051" t="str">
        <f>"AEROSOL ADHERENTE PARA PLASTICOS 340 GR - SINTEPLAST"</f>
        <v>AEROSOL ADHERENTE PARA PLASTICOS 340 GR - SINTEPLAST</v>
      </c>
      <c r="C2051">
        <v>10643.07</v>
      </c>
      <c r="D2051">
        <v>12878.1147</v>
      </c>
    </row>
    <row r="2052" spans="1:4" x14ac:dyDescent="0.25">
      <c r="A2052" t="str">
        <f>"03146"</f>
        <v>03146</v>
      </c>
      <c r="B2052" t="str">
        <f>"TACO LIJADOR MABUAL DE GOMA AZUL 70X135 - NORTON"</f>
        <v>TACO LIJADOR MABUAL DE GOMA AZUL 70X135 - NORTON</v>
      </c>
      <c r="C2052">
        <v>4317.6000000000004</v>
      </c>
      <c r="D2052">
        <v>5224.2960000000003</v>
      </c>
    </row>
    <row r="2053" spans="1:4" x14ac:dyDescent="0.25">
      <c r="A2053" t="str">
        <f>"03147"</f>
        <v>03147</v>
      </c>
      <c r="B2053" t="str">
        <f>"ESPUMA PU. TEKBOND X 750 ML - TEKBOND"</f>
        <v>ESPUMA PU. TEKBOND X 750 ML - TEKBOND</v>
      </c>
      <c r="C2053">
        <v>14609.5</v>
      </c>
      <c r="D2053">
        <v>17677.494999999999</v>
      </c>
    </row>
    <row r="2054" spans="1:4" x14ac:dyDescent="0.25">
      <c r="A2054" t="str">
        <f>"03149"</f>
        <v>03149</v>
      </c>
      <c r="B2054" t="str">
        <f>"CINTA DOBLE FAZ ACRILICA ROJA 19MM X 1.5MT - TEKBOND"</f>
        <v>CINTA DOBLE FAZ ACRILICA ROJA 19MM X 1.5MT - TEKBOND</v>
      </c>
      <c r="C2054">
        <v>5461.5</v>
      </c>
      <c r="D2054">
        <v>6608.415</v>
      </c>
    </row>
    <row r="2055" spans="1:4" x14ac:dyDescent="0.25">
      <c r="A2055" t="str">
        <f>"03150"</f>
        <v>03150</v>
      </c>
      <c r="B2055" t="str">
        <f>"CINTA DOBLE FAZ ACRILICA ROJA 25MM X 1.5MT - TEKBOND"</f>
        <v>CINTA DOBLE FAZ ACRILICA ROJA 25MM X 1.5MT - TEKBOND</v>
      </c>
      <c r="C2055">
        <v>8019</v>
      </c>
      <c r="D2055">
        <v>9702.99</v>
      </c>
    </row>
    <row r="2056" spans="1:4" x14ac:dyDescent="0.25">
      <c r="A2056" t="str">
        <f>"03151"</f>
        <v>03151</v>
      </c>
      <c r="B2056" t="str">
        <f>"CINTA DOBLE FAZ ACRILICA AZUL 19MM X 1.5MT - TEKBOND"</f>
        <v>CINTA DOBLE FAZ ACRILICA AZUL 19MM X 1.5MT - TEKBOND</v>
      </c>
      <c r="C2056">
        <v>5461.5</v>
      </c>
      <c r="D2056">
        <v>6608.415</v>
      </c>
    </row>
    <row r="2057" spans="1:4" x14ac:dyDescent="0.25">
      <c r="A2057" t="str">
        <f>"03152"</f>
        <v>03152</v>
      </c>
      <c r="B2057" t="str">
        <f>"AEROSOL BLANCO BRILLANTE X 350 ML - TEKBOND"</f>
        <v>AEROSOL BLANCO BRILLANTE X 350 ML - TEKBOND</v>
      </c>
      <c r="C2057">
        <v>5233.03</v>
      </c>
      <c r="D2057">
        <v>6331.9662999999991</v>
      </c>
    </row>
    <row r="2058" spans="1:4" x14ac:dyDescent="0.25">
      <c r="A2058" t="str">
        <f>"03153"</f>
        <v>03153</v>
      </c>
      <c r="B2058" t="str">
        <f>"AEROSOL BEIGE X 200 ML - TEKBOND"</f>
        <v>AEROSOL BEIGE X 200 ML - TEKBOND</v>
      </c>
      <c r="C2058">
        <v>2556.9499999999998</v>
      </c>
      <c r="D2058">
        <v>3093.9094999999998</v>
      </c>
    </row>
    <row r="2059" spans="1:4" x14ac:dyDescent="0.25">
      <c r="A2059" t="str">
        <f>"03154"</f>
        <v>03154</v>
      </c>
      <c r="B2059" t="str">
        <f>"AEROSOL ROSA X 200 ML - TEKBOND"</f>
        <v>AEROSOL ROSA X 200 ML - TEKBOND</v>
      </c>
      <c r="C2059">
        <v>2556.9499999999998</v>
      </c>
      <c r="D2059">
        <v>3093.9094999999998</v>
      </c>
    </row>
    <row r="2060" spans="1:4" x14ac:dyDescent="0.25">
      <c r="A2060" t="str">
        <f>"03155"</f>
        <v>03155</v>
      </c>
      <c r="B2060" t="str">
        <f>"DISCO DE CORTE FINO 115 X 1.6 X 22.23MM - NORTON"</f>
        <v>DISCO DE CORTE FINO 115 X 1.6 X 22.23MM - NORTON</v>
      </c>
      <c r="C2060">
        <v>759.18</v>
      </c>
      <c r="D2060">
        <v>918.60779999999988</v>
      </c>
    </row>
    <row r="2061" spans="1:4" x14ac:dyDescent="0.25">
      <c r="A2061" t="str">
        <f>"03157"</f>
        <v>03157</v>
      </c>
      <c r="B2061" t="str">
        <f>"SILICONA ALTA TEMPERATURA 50GR - TEKBOND"</f>
        <v>SILICONA ALTA TEMPERATURA 50GR - TEKBOND</v>
      </c>
      <c r="C2061">
        <v>5750.25</v>
      </c>
      <c r="D2061">
        <v>6957.8024999999998</v>
      </c>
    </row>
    <row r="2062" spans="1:4" x14ac:dyDescent="0.25">
      <c r="A2062" t="str">
        <f>"03158"</f>
        <v>03158</v>
      </c>
      <c r="B2062" t="str">
        <f>"IMPERVENIA MEMBRANA POLIURETANICA X 1L - VENIATEX"</f>
        <v>IMPERVENIA MEMBRANA POLIURETANICA X 1L - VENIATEX</v>
      </c>
      <c r="C2062">
        <v>6565.85</v>
      </c>
      <c r="D2062">
        <v>7944.6785</v>
      </c>
    </row>
    <row r="2063" spans="1:4" x14ac:dyDescent="0.25">
      <c r="A2063" t="str">
        <f>"03159"</f>
        <v>03159</v>
      </c>
      <c r="B2063" t="str">
        <f>"RECUMIX INTERIOR X 5 KG - SINTEPLAST"</f>
        <v>RECUMIX INTERIOR X 5 KG - SINTEPLAST</v>
      </c>
      <c r="C2063">
        <v>12509.01</v>
      </c>
      <c r="D2063">
        <v>15135.902099999999</v>
      </c>
    </row>
    <row r="2064" spans="1:4" x14ac:dyDescent="0.25">
      <c r="A2064" t="str">
        <f>"03160"</f>
        <v>03160</v>
      </c>
      <c r="B2064" t="str">
        <f>"LATEX CASA BLANCA  X 1 LT - CASA BLANCA"</f>
        <v>LATEX CASA BLANCA  X 1 LT - CASA BLANCA</v>
      </c>
      <c r="C2064">
        <v>4908.91</v>
      </c>
      <c r="D2064">
        <v>5939.7810999999992</v>
      </c>
    </row>
    <row r="2065" spans="1:4" x14ac:dyDescent="0.25">
      <c r="A2065" t="str">
        <f>"03161"</f>
        <v>03161</v>
      </c>
      <c r="B2065" t="str">
        <f>"ZINSSER 123 X 946 ML - RUST OLEUM"</f>
        <v>ZINSSER 123 X 946 ML - RUST OLEUM</v>
      </c>
      <c r="C2065">
        <v>18598.689999999999</v>
      </c>
      <c r="D2065">
        <v>22504.414899999996</v>
      </c>
    </row>
    <row r="2066" spans="1:4" x14ac:dyDescent="0.25">
      <c r="A2066" t="str">
        <f>"03162"</f>
        <v>03162</v>
      </c>
      <c r="B2066" t="str">
        <f>"VINTAGE AMARILLO AMANECER X 1 LT"</f>
        <v>VINTAGE AMARILLO AMANECER X 1 LT</v>
      </c>
      <c r="C2066">
        <v>14519.32</v>
      </c>
      <c r="D2066">
        <v>17568.377199999999</v>
      </c>
    </row>
    <row r="2067" spans="1:4" x14ac:dyDescent="0.25">
      <c r="A2067" t="str">
        <f>"03163"</f>
        <v>03163</v>
      </c>
      <c r="B2067" t="str">
        <f>"VINTAGE VERDE ESTANQUE X 1 LT"</f>
        <v>VINTAGE VERDE ESTANQUE X 1 LT</v>
      </c>
      <c r="C2067">
        <v>14519.32</v>
      </c>
      <c r="D2067">
        <v>17568.377199999999</v>
      </c>
    </row>
    <row r="2068" spans="1:4" x14ac:dyDescent="0.25">
      <c r="A2068" t="str">
        <f>"03164"</f>
        <v>03164</v>
      </c>
      <c r="B2068" t="str">
        <f>"VINTAGE GRIS CAMPESTRE X 1 LT"</f>
        <v>VINTAGE GRIS CAMPESTRE X 1 LT</v>
      </c>
      <c r="C2068">
        <v>14519.32</v>
      </c>
      <c r="D2068">
        <v>17568.377199999999</v>
      </c>
    </row>
    <row r="2069" spans="1:4" x14ac:dyDescent="0.25">
      <c r="A2069" t="str">
        <f>"03165"</f>
        <v>03165</v>
      </c>
      <c r="B2069" t="str">
        <f>"VINTAGE AZUL COSTEÑO X 1 LT"</f>
        <v>VINTAGE AZUL COSTEÑO X 1 LT</v>
      </c>
      <c r="C2069">
        <v>14519.32</v>
      </c>
      <c r="D2069">
        <v>17568.377199999999</v>
      </c>
    </row>
    <row r="2070" spans="1:4" x14ac:dyDescent="0.25">
      <c r="A2070" t="str">
        <f>"03166"</f>
        <v>03166</v>
      </c>
      <c r="B2070" t="str">
        <f>"VINTAGE AZUL SERENO X 1 LT"</f>
        <v>VINTAGE AZUL SERENO X 1 LT</v>
      </c>
      <c r="C2070">
        <v>14519.32</v>
      </c>
      <c r="D2070">
        <v>17568.377199999999</v>
      </c>
    </row>
    <row r="2071" spans="1:4" x14ac:dyDescent="0.25">
      <c r="A2071" t="str">
        <f>"03167"</f>
        <v>03167</v>
      </c>
      <c r="B2071" t="str">
        <f>"VINTAGE ROSA PALIDO X 1 LT"</f>
        <v>VINTAGE ROSA PALIDO X 1 LT</v>
      </c>
      <c r="C2071">
        <v>14519.32</v>
      </c>
      <c r="D2071">
        <v>17568.377199999999</v>
      </c>
    </row>
    <row r="2072" spans="1:4" x14ac:dyDescent="0.25">
      <c r="A2072" t="str">
        <f>"03168"</f>
        <v>03168</v>
      </c>
      <c r="B2072" t="str">
        <f>"VINTAGE LACA MATE X 1 LT"</f>
        <v>VINTAGE LACA MATE X 1 LT</v>
      </c>
      <c r="C2072">
        <v>14519.32</v>
      </c>
      <c r="D2072">
        <v>17568.377199999999</v>
      </c>
    </row>
    <row r="2073" spans="1:4" x14ac:dyDescent="0.25">
      <c r="A2073" t="str">
        <f>"03169"</f>
        <v>03169</v>
      </c>
      <c r="B2073" t="str">
        <f>"VINTAGE VERDE MENTA X 1 LT"</f>
        <v>VINTAGE VERDE MENTA X 1 LT</v>
      </c>
      <c r="C2073">
        <v>14519.32</v>
      </c>
      <c r="D2073">
        <v>17568.377199999999</v>
      </c>
    </row>
    <row r="2074" spans="1:4" x14ac:dyDescent="0.25">
      <c r="A2074" t="str">
        <f>"03170"</f>
        <v>03170</v>
      </c>
      <c r="B2074" t="str">
        <f>"VINTAGE ROJO CAMPESTRE X 1 LT"</f>
        <v>VINTAGE ROJO CAMPESTRE X 1 LT</v>
      </c>
      <c r="C2074">
        <v>14519.32</v>
      </c>
      <c r="D2074">
        <v>17568.377199999999</v>
      </c>
    </row>
    <row r="2075" spans="1:4" x14ac:dyDescent="0.25">
      <c r="A2075" t="str">
        <f>"03171"</f>
        <v>03171</v>
      </c>
      <c r="B2075" t="str">
        <f>"VINTAGE CREMA GASA X 1 LT"</f>
        <v>VINTAGE CREMA GASA X 1 LT</v>
      </c>
      <c r="C2075">
        <v>14519.32</v>
      </c>
      <c r="D2075">
        <v>17568.377199999999</v>
      </c>
    </row>
    <row r="2076" spans="1:4" x14ac:dyDescent="0.25">
      <c r="A2076" t="str">
        <f>"03172"</f>
        <v>03172</v>
      </c>
      <c r="B2076" t="str">
        <f>"VINTAGE GRIS ENVEJECIDO X 1 LT"</f>
        <v>VINTAGE GRIS ENVEJECIDO X 1 LT</v>
      </c>
      <c r="C2076">
        <v>14519.32</v>
      </c>
      <c r="D2076">
        <v>17568.377199999999</v>
      </c>
    </row>
    <row r="2077" spans="1:4" x14ac:dyDescent="0.25">
      <c r="A2077" t="str">
        <f>"03173"</f>
        <v>03173</v>
      </c>
      <c r="B2077" t="s">
        <v>10</v>
      </c>
      <c r="C2077">
        <v>5564.98</v>
      </c>
      <c r="D2077">
        <v>6733.6257999999989</v>
      </c>
    </row>
    <row r="2078" spans="1:4" x14ac:dyDescent="0.25">
      <c r="A2078" t="str">
        <f>"03175"</f>
        <v>03175</v>
      </c>
      <c r="B2078" t="str">
        <f>"LUMINOR X4 NATURAL 1 L - POLACRIN"</f>
        <v>LUMINOR X4 NATURAL 1 L - POLACRIN</v>
      </c>
      <c r="C2078">
        <v>3993</v>
      </c>
      <c r="D2078">
        <v>4831.53</v>
      </c>
    </row>
    <row r="2079" spans="1:4" x14ac:dyDescent="0.25">
      <c r="A2079" t="str">
        <f>"03176"</f>
        <v>03176</v>
      </c>
      <c r="B2079" t="str">
        <f>"LUMINOR X4 CAOBA 1 L - POLACRIN"</f>
        <v>LUMINOR X4 CAOBA 1 L - POLACRIN</v>
      </c>
      <c r="C2079">
        <v>3993</v>
      </c>
      <c r="D2079">
        <v>4831.53</v>
      </c>
    </row>
    <row r="2080" spans="1:4" x14ac:dyDescent="0.25">
      <c r="A2080" t="str">
        <f>"03177"</f>
        <v>03177</v>
      </c>
      <c r="B2080" t="str">
        <f>"LUMINOR X4 CEDRO 1 L - POLACRIN"</f>
        <v>LUMINOR X4 CEDRO 1 L - POLACRIN</v>
      </c>
      <c r="C2080">
        <v>3993</v>
      </c>
      <c r="D2080">
        <v>4831.53</v>
      </c>
    </row>
    <row r="2081" spans="1:4" x14ac:dyDescent="0.25">
      <c r="A2081" t="str">
        <f>"03178"</f>
        <v>03178</v>
      </c>
      <c r="B2081" t="str">
        <f>"LUMINOR X4 TRANSPARENTE 1 L - POLACRIN"</f>
        <v>LUMINOR X4 TRANSPARENTE 1 L - POLACRIN</v>
      </c>
      <c r="C2081">
        <v>15675</v>
      </c>
      <c r="D2081">
        <v>18966.75</v>
      </c>
    </row>
    <row r="2082" spans="1:4" x14ac:dyDescent="0.25">
      <c r="A2082" t="str">
        <f>"03179"</f>
        <v>03179</v>
      </c>
      <c r="B2082" t="str">
        <f>"LUMINOR X4 CAOBA 4 L - POLACRIN"</f>
        <v>LUMINOR X4 CAOBA 4 L - POLACRIN</v>
      </c>
      <c r="C2082">
        <v>15675</v>
      </c>
      <c r="D2082">
        <v>18966.75</v>
      </c>
    </row>
    <row r="2083" spans="1:4" x14ac:dyDescent="0.25">
      <c r="A2083" t="str">
        <f>"03180"</f>
        <v>03180</v>
      </c>
      <c r="B2083" t="str">
        <f>"ENDURECEDOR PU ACELERADO  -  573.950-2.5  -  FARBEN"</f>
        <v>ENDURECEDOR PU ACELERADO  -  573.950-2.5  -  FARBEN</v>
      </c>
      <c r="C2083">
        <v>62071.02</v>
      </c>
      <c r="D2083">
        <v>75105.934199999989</v>
      </c>
    </row>
    <row r="2084" spans="1:4" x14ac:dyDescent="0.25">
      <c r="A2084" t="str">
        <f>"03181"</f>
        <v>03181</v>
      </c>
      <c r="B2084" t="s">
        <v>11</v>
      </c>
      <c r="C2084">
        <v>38526.449999999997</v>
      </c>
      <c r="D2084">
        <v>46617.004499999995</v>
      </c>
    </row>
    <row r="2085" spans="1:4" x14ac:dyDescent="0.25">
      <c r="A2085" t="str">
        <f>"03184"</f>
        <v>03184</v>
      </c>
      <c r="B2085" t="str">
        <f>"RODILLO HILADO EXTREMO  22CM T50 - ROSARPIN"</f>
        <v>RODILLO HILADO EXTREMO  22CM T50 - ROSARPIN</v>
      </c>
      <c r="C2085">
        <v>10819.22</v>
      </c>
      <c r="D2085">
        <v>13091.256199999998</v>
      </c>
    </row>
    <row r="2086" spans="1:4" x14ac:dyDescent="0.25">
      <c r="A2086" t="str">
        <f>"03185"</f>
        <v>03185</v>
      </c>
      <c r="B2086" t="str">
        <f>"MINI RODILLO EPOXI 6CM - ROSARPIN"</f>
        <v>MINI RODILLO EPOXI 6CM - ROSARPIN</v>
      </c>
      <c r="C2086">
        <v>2211.7800000000002</v>
      </c>
      <c r="D2086">
        <v>2676.2538</v>
      </c>
    </row>
    <row r="2087" spans="1:4" x14ac:dyDescent="0.25">
      <c r="A2087" t="str">
        <f>"03186"</f>
        <v>03186</v>
      </c>
      <c r="B2087" t="str">
        <f>"MINI RODILLO EPOXI 8CM - ROSARPIN"</f>
        <v>MINI RODILLO EPOXI 8CM - ROSARPIN</v>
      </c>
      <c r="C2087">
        <v>2554.6</v>
      </c>
      <c r="D2087">
        <v>3091.0659999999998</v>
      </c>
    </row>
    <row r="2088" spans="1:4" x14ac:dyDescent="0.25">
      <c r="A2088" t="str">
        <f>"03187"</f>
        <v>03187</v>
      </c>
      <c r="B2088" t="str">
        <f>"MINI RODILLO EPOXI 10CM - ROSARPIN"</f>
        <v>MINI RODILLO EPOXI 10CM - ROSARPIN</v>
      </c>
      <c r="C2088">
        <v>2756.47</v>
      </c>
      <c r="D2088">
        <v>3335.3286999999996</v>
      </c>
    </row>
    <row r="2089" spans="1:4" x14ac:dyDescent="0.25">
      <c r="A2089" t="str">
        <f>"03188"</f>
        <v>03188</v>
      </c>
      <c r="B2089" t="str">
        <f>"KIT ESENCIAL EL VENCEDOR - ROSARPIN"</f>
        <v>KIT ESENCIAL EL VENCEDOR - ROSARPIN</v>
      </c>
      <c r="C2089">
        <v>16468.169999999998</v>
      </c>
      <c r="D2089">
        <v>19926.485699999997</v>
      </c>
    </row>
    <row r="2090" spans="1:4" x14ac:dyDescent="0.25">
      <c r="A2090" t="str">
        <f>"03189"</f>
        <v>03189</v>
      </c>
      <c r="B2090" t="str">
        <f>"P.U. FARBEN 2X1 - AZUL SIN CATALIZADOR"</f>
        <v>P.U. FARBEN 2X1 - AZUL SIN CATALIZADOR</v>
      </c>
      <c r="C2090">
        <v>45613.62</v>
      </c>
      <c r="D2090">
        <v>55192.480199999998</v>
      </c>
    </row>
    <row r="2091" spans="1:4" x14ac:dyDescent="0.25">
      <c r="A2091" t="str">
        <f>"03192"</f>
        <v>03192</v>
      </c>
      <c r="B2091" t="str">
        <f>"CROMATICA GRIS BRILLANTE 20 L - EMAPI"</f>
        <v>CROMATICA GRIS BRILLANTE 20 L - EMAPI</v>
      </c>
      <c r="C2091">
        <v>139288.75</v>
      </c>
      <c r="D2091">
        <v>168539.38749999998</v>
      </c>
    </row>
    <row r="2092" spans="1:4" x14ac:dyDescent="0.25">
      <c r="A2092" t="str">
        <f>"03197"</f>
        <v>03197</v>
      </c>
      <c r="B2092" t="str">
        <f>"P.U. FARBEN 2X1 - BLANCO SIN CATALIZADOR"</f>
        <v>P.U. FARBEN 2X1 - BLANCO SIN CATALIZADOR</v>
      </c>
      <c r="C2092">
        <v>30578.51</v>
      </c>
      <c r="D2092">
        <v>36999.997100000001</v>
      </c>
    </row>
    <row r="2093" spans="1:4" x14ac:dyDescent="0.25">
      <c r="A2093" t="str">
        <f>"03198"</f>
        <v>03198</v>
      </c>
      <c r="B2093" t="str">
        <f>"P.U. FARBEN 2X1 - MARRON/BEIGE SIN CATALIZADOR"</f>
        <v>P.U. FARBEN 2X1 - MARRON/BEIGE SIN CATALIZADOR</v>
      </c>
      <c r="C2093">
        <v>33715.230000000003</v>
      </c>
      <c r="D2093">
        <v>40795.4283</v>
      </c>
    </row>
    <row r="2094" spans="1:4" x14ac:dyDescent="0.25">
      <c r="A2094" t="str">
        <f>"03199"</f>
        <v>03199</v>
      </c>
      <c r="B2094" t="str">
        <f>"P.U. FARBEN 2X1 - NARANJA SIN CATALIZADOR"</f>
        <v>P.U. FARBEN 2X1 - NARANJA SIN CATALIZADOR</v>
      </c>
      <c r="C2094">
        <v>53215.9</v>
      </c>
      <c r="D2094">
        <v>64391.239000000001</v>
      </c>
    </row>
    <row r="2095" spans="1:4" x14ac:dyDescent="0.25">
      <c r="A2095" t="str">
        <f>"03200"</f>
        <v>03200</v>
      </c>
      <c r="B2095" t="str">
        <f>"P.U. FARBEN 2X1 - NEGRO SIN CATALIZADOR"</f>
        <v>P.U. FARBEN 2X1 - NEGRO SIN CATALIZADOR</v>
      </c>
      <c r="C2095">
        <v>30409.09</v>
      </c>
      <c r="D2095">
        <v>36794.998899999999</v>
      </c>
    </row>
    <row r="2096" spans="1:4" x14ac:dyDescent="0.25">
      <c r="A2096" t="str">
        <f>"03201"</f>
        <v>03201</v>
      </c>
      <c r="B2096" t="str">
        <f>"P.U. FARBEN 2X1 - ROJO SIN CATALIZADOR"</f>
        <v>P.U. FARBEN 2X1 - ROJO SIN CATALIZADOR</v>
      </c>
      <c r="C2096">
        <v>49414.76</v>
      </c>
      <c r="D2096">
        <v>59791.859600000003</v>
      </c>
    </row>
    <row r="2097" spans="1:4" x14ac:dyDescent="0.25">
      <c r="A2097" t="str">
        <f>"03202"</f>
        <v>03202</v>
      </c>
      <c r="B2097" t="str">
        <f>"P.U. FARBEN 2X1 - VERDE SIN CATALIZADOR"</f>
        <v>P.U. FARBEN 2X1 - VERDE SIN CATALIZADOR</v>
      </c>
      <c r="C2097">
        <v>45613.62</v>
      </c>
      <c r="D2097">
        <v>55192.480199999998</v>
      </c>
    </row>
    <row r="2098" spans="1:4" x14ac:dyDescent="0.25">
      <c r="A2098" t="str">
        <f>"03203"</f>
        <v>03203</v>
      </c>
      <c r="B2098" t="str">
        <f>"P.U. SIKKENS 2X1 - AMARILLO SIN CATALIZADOR"</f>
        <v>P.U. SIKKENS 2X1 - AMARILLO SIN CATALIZADOR</v>
      </c>
      <c r="C2098">
        <v>60818.18</v>
      </c>
      <c r="D2098">
        <v>73589.997799999997</v>
      </c>
    </row>
    <row r="2099" spans="1:4" x14ac:dyDescent="0.25">
      <c r="A2099" t="str">
        <f>"03204"</f>
        <v>03204</v>
      </c>
      <c r="B2099" t="str">
        <f>"P.U. SIKKENS 2X1 - AZUL SIN CATALIZADOR"</f>
        <v>P.U. SIKKENS 2X1 - AZUL SIN CATALIZADOR</v>
      </c>
      <c r="C2099">
        <v>49414.78</v>
      </c>
      <c r="D2099">
        <v>59791.883799999996</v>
      </c>
    </row>
    <row r="2100" spans="1:4" x14ac:dyDescent="0.25">
      <c r="A2100" t="str">
        <f>"03205"</f>
        <v>03205</v>
      </c>
      <c r="B2100" t="str">
        <f>"P.U. SIKKENS 2X1 - BLANCO SIN CATALIZADOR"</f>
        <v>P.U. SIKKENS 2X1 - BLANCO SIN CATALIZADOR</v>
      </c>
      <c r="C2100">
        <v>38011.35</v>
      </c>
      <c r="D2100">
        <v>45993.733499999995</v>
      </c>
    </row>
    <row r="2101" spans="1:4" x14ac:dyDescent="0.25">
      <c r="A2101" t="str">
        <f>"03206"</f>
        <v>03206</v>
      </c>
      <c r="B2101" t="str">
        <f>"P.U. SIKKENS 2X1 - MARRON/BEIGE SIN CATALIZADOR"</f>
        <v>P.U. SIKKENS 2X1 - MARRON/BEIGE SIN CATALIZADOR</v>
      </c>
      <c r="C2101">
        <v>38011.35</v>
      </c>
      <c r="D2101">
        <v>45993.733499999995</v>
      </c>
    </row>
    <row r="2102" spans="1:4" x14ac:dyDescent="0.25">
      <c r="A2102" t="str">
        <f>"03207"</f>
        <v>03207</v>
      </c>
      <c r="B2102" t="str">
        <f>"P.U. SIKKENS 2X1 - NARANJA SIN CATALIZADOR"</f>
        <v>P.U. SIKKENS 2X1 - NARANJA SIN CATALIZADOR</v>
      </c>
      <c r="C2102">
        <v>60818.18</v>
      </c>
      <c r="D2102">
        <v>73589.997799999997</v>
      </c>
    </row>
    <row r="2103" spans="1:4" x14ac:dyDescent="0.25">
      <c r="A2103" t="str">
        <f>"03208"</f>
        <v>03208</v>
      </c>
      <c r="B2103" t="str">
        <f>"P.U. SIKKENS 2X1 - NEGRO SIN CATALIZADOR"</f>
        <v>P.U. SIKKENS 2X1 - NEGRO SIN CATALIZADOR</v>
      </c>
      <c r="C2103">
        <v>38011.35</v>
      </c>
      <c r="D2103">
        <v>45993.733499999995</v>
      </c>
    </row>
    <row r="2104" spans="1:4" x14ac:dyDescent="0.25">
      <c r="A2104" t="str">
        <f>"03209"</f>
        <v>03209</v>
      </c>
      <c r="B2104" t="str">
        <f>"P.U. SIKKENS 2X1 - ROJO SIN CATALIZADOR"</f>
        <v>P.U. SIKKENS 2X1 - ROJO SIN CATALIZADOR</v>
      </c>
      <c r="C2104">
        <v>60818.18</v>
      </c>
      <c r="D2104">
        <v>73589.997799999997</v>
      </c>
    </row>
    <row r="2105" spans="1:4" x14ac:dyDescent="0.25">
      <c r="A2105" t="str">
        <f>"03210"</f>
        <v>03210</v>
      </c>
      <c r="B2105" t="str">
        <f>"P.U. SIKKENS 2X1 - VERDE SIN CATALIZADOR"</f>
        <v>P.U. SIKKENS 2X1 - VERDE SIN CATALIZADOR</v>
      </c>
      <c r="C2105">
        <v>49414.78</v>
      </c>
      <c r="D2105">
        <v>59791.883799999996</v>
      </c>
    </row>
    <row r="2106" spans="1:4" x14ac:dyDescent="0.25">
      <c r="A2106" t="str">
        <f>"03211"</f>
        <v>03211</v>
      </c>
      <c r="B2106" t="str">
        <f>"PROMOCION BARNIZ 850 X 0.9 + CATALIZADOR 950 X 0.45"</f>
        <v>PROMOCION BARNIZ 850 X 0.9 + CATALIZADOR 950 X 0.45</v>
      </c>
      <c r="C2106">
        <v>0</v>
      </c>
      <c r="D2106">
        <v>0</v>
      </c>
    </row>
    <row r="2107" spans="1:4" x14ac:dyDescent="0.25">
      <c r="A2107" t="str">
        <f>"03212"</f>
        <v>03212</v>
      </c>
      <c r="B2107" t="str">
        <f>"DEMARCACION VIAL BLANCO  -  307.100-3.6  -  FARBEN"</f>
        <v>DEMARCACION VIAL BLANCO  -  307.100-3.6  -  FARBEN</v>
      </c>
      <c r="C2107">
        <v>65300.31</v>
      </c>
      <c r="D2107">
        <v>79013.37509999999</v>
      </c>
    </row>
    <row r="2108" spans="1:4" x14ac:dyDescent="0.25">
      <c r="A2108" t="str">
        <f>"03213"</f>
        <v>03213</v>
      </c>
      <c r="B2108" t="str">
        <f>"DEMARCACION VIAL BLANCO  -  307.100-018  -  FARBEN"</f>
        <v>DEMARCACION VIAL BLANCO  -  307.100-018  -  FARBEN</v>
      </c>
      <c r="C2108">
        <v>288888.34000000003</v>
      </c>
      <c r="D2108">
        <v>349554.89140000002</v>
      </c>
    </row>
    <row r="2109" spans="1:4" x14ac:dyDescent="0.25">
      <c r="A2109" t="str">
        <f>"03214"</f>
        <v>03214</v>
      </c>
      <c r="B2109" t="str">
        <f>"DEMARCACION VIAL AMARILLO  -  307.600-3.6  -  FARBEN"</f>
        <v>DEMARCACION VIAL AMARILLO  -  307.600-3.6  -  FARBEN</v>
      </c>
      <c r="C2109">
        <v>73470.47</v>
      </c>
      <c r="D2109">
        <v>88899.268700000001</v>
      </c>
    </row>
    <row r="2110" spans="1:4" x14ac:dyDescent="0.25">
      <c r="A2110" t="str">
        <f>"03215"</f>
        <v>03215</v>
      </c>
      <c r="B2110" t="str">
        <f>"DEMARCACION VIAL AMARILLO  -  307.600-018  -  FARBEN"</f>
        <v>DEMARCACION VIAL AMARILLO  -  307.600-018  -  FARBEN</v>
      </c>
      <c r="C2110">
        <v>326072.46000000002</v>
      </c>
      <c r="D2110">
        <v>394547.67660000001</v>
      </c>
    </row>
    <row r="2111" spans="1:4" x14ac:dyDescent="0.25">
      <c r="A2111" t="str">
        <f>"03216"</f>
        <v>03216</v>
      </c>
      <c r="B2111" t="str">
        <f>"THINNER - 556.000-0.9 - FARBEN"</f>
        <v>THINNER - 556.000-0.9 - FARBEN</v>
      </c>
      <c r="C2111">
        <v>4862.17</v>
      </c>
      <c r="D2111">
        <v>5883.2257</v>
      </c>
    </row>
    <row r="2112" spans="1:4" x14ac:dyDescent="0.25">
      <c r="A2112" t="str">
        <f>"03217"</f>
        <v>03217</v>
      </c>
      <c r="B2112" t="str">
        <f>"THINNER - 556.000-5.0  - FARBEN"</f>
        <v>THINNER - 556.000-5.0  - FARBEN</v>
      </c>
      <c r="C2112">
        <v>26590.09</v>
      </c>
      <c r="D2112">
        <v>32174.008900000001</v>
      </c>
    </row>
    <row r="2113" spans="1:4" x14ac:dyDescent="0.25">
      <c r="A2113" t="str">
        <f>"03218"</f>
        <v>03218</v>
      </c>
      <c r="B2113" t="str">
        <f>"THINNER - 556.000-018  - FARBEN"</f>
        <v>THINNER - 556.000-018  - FARBEN</v>
      </c>
      <c r="C2113">
        <v>88127.54</v>
      </c>
      <c r="D2113">
        <v>106634.32339999999</v>
      </c>
    </row>
    <row r="2114" spans="1:4" x14ac:dyDescent="0.25">
      <c r="A2114" t="str">
        <f>"03219"</f>
        <v>03219</v>
      </c>
      <c r="B2114" t="str">
        <f>"AGUAS MENDOCINAS 27%"</f>
        <v>AGUAS MENDOCINAS 27%</v>
      </c>
      <c r="C2114">
        <v>0</v>
      </c>
      <c r="D2114">
        <v>0</v>
      </c>
    </row>
    <row r="2115" spans="1:4" x14ac:dyDescent="0.25">
      <c r="A2115" t="str">
        <f>"03220"</f>
        <v>03220</v>
      </c>
      <c r="B2115" t="str">
        <f>"TELEFONIA MOVIL 21%"</f>
        <v>TELEFONIA MOVIL 21%</v>
      </c>
      <c r="C2115">
        <v>0</v>
      </c>
      <c r="D2115">
        <v>0</v>
      </c>
    </row>
    <row r="2116" spans="1:4" x14ac:dyDescent="0.25">
      <c r="A2116" t="str">
        <f>"03221"</f>
        <v>03221</v>
      </c>
      <c r="B2116" t="str">
        <f>"TELEFONIA MOVIL 27%"</f>
        <v>TELEFONIA MOVIL 27%</v>
      </c>
      <c r="C2116">
        <v>0</v>
      </c>
      <c r="D2116">
        <v>0</v>
      </c>
    </row>
    <row r="2117" spans="1:4" x14ac:dyDescent="0.25">
      <c r="A2117" t="str">
        <f>"03222"</f>
        <v>03222</v>
      </c>
      <c r="B2117" t="str">
        <f>"TELEFONIA IMPUESTO INTERNO"</f>
        <v>TELEFONIA IMPUESTO INTERNO</v>
      </c>
      <c r="C2117">
        <v>0</v>
      </c>
      <c r="D2117">
        <v>0</v>
      </c>
    </row>
    <row r="2118" spans="1:4" x14ac:dyDescent="0.25">
      <c r="A2118" t="str">
        <f>"03223"</f>
        <v>03223</v>
      </c>
      <c r="B2118" t="str">
        <f>"EDEMSA "</f>
        <v xml:space="preserve">EDEMSA </v>
      </c>
      <c r="C2118">
        <v>0</v>
      </c>
      <c r="D2118">
        <v>0</v>
      </c>
    </row>
    <row r="2119" spans="1:4" x14ac:dyDescent="0.25">
      <c r="A2119" t="str">
        <f>"03228"</f>
        <v>03228</v>
      </c>
      <c r="B2119" t="str">
        <f>"TEXTURADO PIEDRA HISTORICA BASE INTENSA X 25KG - VENEZIA"</f>
        <v>TEXTURADO PIEDRA HISTORICA BASE INTENSA X 25KG - VENEZIA</v>
      </c>
      <c r="C2119">
        <v>102527.81</v>
      </c>
      <c r="D2119">
        <v>124058.6501</v>
      </c>
    </row>
    <row r="2120" spans="1:4" x14ac:dyDescent="0.25">
      <c r="A2120" t="str">
        <f>"03229"</f>
        <v>03229</v>
      </c>
      <c r="B2120" t="str">
        <f>"SELLADOR ALEX PLUS BLANCO X 300 ML - PINROLL"</f>
        <v>SELLADOR ALEX PLUS BLANCO X 300 ML - PINROLL</v>
      </c>
      <c r="C2120">
        <v>7562.08</v>
      </c>
      <c r="D2120">
        <v>9150.1167999999998</v>
      </c>
    </row>
    <row r="2121" spans="1:4" x14ac:dyDescent="0.25">
      <c r="A2121" t="str">
        <f>"03230"</f>
        <v>03230</v>
      </c>
      <c r="B2121" t="str">
        <f>"SELLADOR ALEX BLANCO X 300 ML - PINROLL"</f>
        <v>SELLADOR ALEX BLANCO X 300 ML - PINROLL</v>
      </c>
      <c r="C2121">
        <v>5401.48</v>
      </c>
      <c r="D2121">
        <v>6535.7907999999989</v>
      </c>
    </row>
    <row r="2122" spans="1:4" x14ac:dyDescent="0.25">
      <c r="A2122" t="str">
        <f>"03231"</f>
        <v>03231</v>
      </c>
      <c r="B2122" t="str">
        <f>"SELLADOR CONCRETO X 300 ML - PINROLL"</f>
        <v>SELLADOR CONCRETO X 300 ML - PINROLL</v>
      </c>
      <c r="C2122">
        <v>5701.57</v>
      </c>
      <c r="D2122">
        <v>6898.899699999999</v>
      </c>
    </row>
    <row r="2123" spans="1:4" x14ac:dyDescent="0.25">
      <c r="A2123" t="str">
        <f>"03232"</f>
        <v>03232</v>
      </c>
      <c r="B2123" t="str">
        <f>"SELLADOR ADHESIVO DE MONTAJE BEATS THE NAIL X 350 ML - PINROLL"</f>
        <v>SELLADOR ADHESIVO DE MONTAJE BEATS THE NAIL X 350 ML - PINROLL</v>
      </c>
      <c r="C2123">
        <v>5793.38</v>
      </c>
      <c r="D2123">
        <v>7009.9898000000003</v>
      </c>
    </row>
    <row r="2124" spans="1:4" x14ac:dyDescent="0.25">
      <c r="A2124" t="str">
        <f>"03233"</f>
        <v>03233</v>
      </c>
      <c r="B2124" t="str">
        <f>"VACRIL1400 DILUYENTE EPOXI X 20 L"</f>
        <v>VACRIL1400 DILUYENTE EPOXI X 20 L</v>
      </c>
      <c r="C2124">
        <v>210223.06</v>
      </c>
      <c r="D2124">
        <v>254369.9026</v>
      </c>
    </row>
    <row r="2125" spans="1:4" x14ac:dyDescent="0.25">
      <c r="A2125" t="str">
        <f>"03234"</f>
        <v>03234</v>
      </c>
      <c r="B2125" t="str">
        <f>"VACRI 4485 EPOXIPISO AUTOIMP AMARILLO MEDIO 1056 X 20L (10L + 10L)"</f>
        <v>VACRI 4485 EPOXIPISO AUTOIMP AMARILLO MEDIO 1056 X 20L (10L + 10L)</v>
      </c>
      <c r="C2125">
        <v>456576.45</v>
      </c>
      <c r="D2125">
        <v>552457.50450000004</v>
      </c>
    </row>
    <row r="2126" spans="1:4" x14ac:dyDescent="0.25">
      <c r="A2126" t="str">
        <f>"03235"</f>
        <v>03235</v>
      </c>
      <c r="B2126" t="str">
        <f>"SIKA MONOTOP 615 BOLSA X 25KL"</f>
        <v>SIKA MONOTOP 615 BOLSA X 25KL</v>
      </c>
      <c r="C2126">
        <v>66615.179999999993</v>
      </c>
      <c r="D2126">
        <v>80604.367799999993</v>
      </c>
    </row>
    <row r="2127" spans="1:4" x14ac:dyDescent="0.25">
      <c r="A2127" t="str">
        <f>"03236"</f>
        <v>03236</v>
      </c>
      <c r="B2127" t="str">
        <f>"SIKAFLEX  1A PLUS GRIS CARTUCHO X 300ML"</f>
        <v>SIKAFLEX  1A PLUS GRIS CARTUCHO X 300ML</v>
      </c>
      <c r="C2127">
        <v>30456.22</v>
      </c>
      <c r="D2127">
        <v>36852.0262</v>
      </c>
    </row>
    <row r="2128" spans="1:4" x14ac:dyDescent="0.25">
      <c r="A2128" t="str">
        <f>"03237"</f>
        <v>03237</v>
      </c>
      <c r="B2128" t="str">
        <f>"SIKA ROD FONDO DE JUNTA 3/8 X 1 MTR."</f>
        <v>SIKA ROD FONDO DE JUNTA 3/8 X 1 MTR.</v>
      </c>
      <c r="C2128">
        <v>677.74</v>
      </c>
      <c r="D2128">
        <v>820.06539999999995</v>
      </c>
    </row>
    <row r="2129" spans="1:4" x14ac:dyDescent="0.25">
      <c r="A2129" t="str">
        <f>"03242"</f>
        <v>03242</v>
      </c>
      <c r="B2129" t="str">
        <f>"LIJA AL AGUA NOR T277 N150 - NORTON"</f>
        <v>LIJA AL AGUA NOR T277 N150 - NORTON</v>
      </c>
      <c r="C2129">
        <v>674.52</v>
      </c>
      <c r="D2129">
        <v>816.16919999999993</v>
      </c>
    </row>
    <row r="2130" spans="1:4" x14ac:dyDescent="0.25">
      <c r="A2130" t="str">
        <f>"03243"</f>
        <v>03243</v>
      </c>
      <c r="B2130" t="str">
        <f>"LIQUITECH CAUCHOGOMA IMPERMEABILIZANTE X 20L BLANCO - MERCLIN"</f>
        <v>LIQUITECH CAUCHOGOMA IMPERMEABILIZANTE X 20L BLANCO - MERCLIN</v>
      </c>
      <c r="C2130">
        <v>140974.59</v>
      </c>
      <c r="D2130">
        <v>170579.25389999998</v>
      </c>
    </row>
    <row r="2131" spans="1:4" x14ac:dyDescent="0.25">
      <c r="A2131" t="str">
        <f>"03244"</f>
        <v>03244</v>
      </c>
      <c r="B2131" t="str">
        <f>"AGREGADO TEXTURA MEDIANA P/5 KG X 18 UN - VENEZIA"</f>
        <v>AGREGADO TEXTURA MEDIANA P/5 KG X 18 UN - VENEZIA</v>
      </c>
      <c r="C2131">
        <v>1521.68</v>
      </c>
      <c r="D2131">
        <v>1841.2328</v>
      </c>
    </row>
    <row r="2132" spans="1:4" x14ac:dyDescent="0.25">
      <c r="A2132" t="str">
        <f>"03245"</f>
        <v>03245</v>
      </c>
      <c r="B2132" t="str">
        <f>"AM PLUS MM Q195 - SIKKENS"</f>
        <v>AM PLUS MM Q195 - SIKKENS</v>
      </c>
      <c r="C2132">
        <v>133777.82999999999</v>
      </c>
      <c r="D2132">
        <v>161871.17429999998</v>
      </c>
    </row>
    <row r="2133" spans="1:4" x14ac:dyDescent="0.25">
      <c r="A2133" t="str">
        <f>"03246"</f>
        <v>03246</v>
      </c>
      <c r="B2133" t="str">
        <f>"AM PLUS MM Q679 - SIKKENS"</f>
        <v>AM PLUS MM Q679 - SIKKENS</v>
      </c>
      <c r="C2133">
        <v>95986.240000000005</v>
      </c>
      <c r="D2133">
        <v>116143.3504</v>
      </c>
    </row>
    <row r="2134" spans="1:4" x14ac:dyDescent="0.25">
      <c r="A2134" t="str">
        <f>"03247"</f>
        <v>03247</v>
      </c>
      <c r="B2134" t="str">
        <f>"AM PLUS MM Q431 - SIKKENS"</f>
        <v>AM PLUS MM Q431 - SIKKENS</v>
      </c>
      <c r="C2134">
        <v>95986.240000000005</v>
      </c>
      <c r="D2134">
        <v>116143.3504</v>
      </c>
    </row>
    <row r="2135" spans="1:4" x14ac:dyDescent="0.25">
      <c r="A2135" t="str">
        <f>"03248"</f>
        <v>03248</v>
      </c>
      <c r="B2135" t="str">
        <f>"AM PLUS MM Q678 - SIKKENS"</f>
        <v>AM PLUS MM Q678 - SIKKENS</v>
      </c>
      <c r="C2135">
        <v>95986.240000000005</v>
      </c>
      <c r="D2135">
        <v>116143.3504</v>
      </c>
    </row>
    <row r="2136" spans="1:4" x14ac:dyDescent="0.25">
      <c r="A2136" t="str">
        <f>"03249"</f>
        <v>03249</v>
      </c>
      <c r="B2136" t="str">
        <f>"AM PLUS MM Q811U - SIKKENS"</f>
        <v>AM PLUS MM Q811U - SIKKENS</v>
      </c>
      <c r="C2136">
        <v>84826.33</v>
      </c>
      <c r="D2136">
        <v>102639.8593</v>
      </c>
    </row>
    <row r="2137" spans="1:4" x14ac:dyDescent="0.25">
      <c r="A2137" t="str">
        <f>"03250"</f>
        <v>03250</v>
      </c>
      <c r="B2137" t="str">
        <f>"AM PLUS MM Q833G - SIKKENS"</f>
        <v>AM PLUS MM Q833G - SIKKENS</v>
      </c>
      <c r="C2137">
        <v>151912.20000000001</v>
      </c>
      <c r="D2137">
        <v>183813.76200000002</v>
      </c>
    </row>
    <row r="2138" spans="1:4" x14ac:dyDescent="0.25">
      <c r="A2138" t="str">
        <f>"03251"</f>
        <v>03251</v>
      </c>
      <c r="B2138" t="str">
        <f>"AM PLUS MM Q925N - SIKKENS"</f>
        <v>AM PLUS MM Q925N - SIKKENS</v>
      </c>
      <c r="C2138">
        <v>110786.6</v>
      </c>
      <c r="D2138">
        <v>134051.78599999999</v>
      </c>
    </row>
    <row r="2139" spans="1:4" x14ac:dyDescent="0.25">
      <c r="A2139" t="str">
        <f>"03252"</f>
        <v>03252</v>
      </c>
      <c r="B2139" t="str">
        <f>"AM PLUS MM Q932H - SIKKENS"</f>
        <v>AM PLUS MM Q932H - SIKKENS</v>
      </c>
      <c r="C2139">
        <v>175131.18</v>
      </c>
      <c r="D2139">
        <v>211908.72779999999</v>
      </c>
    </row>
    <row r="2140" spans="1:4" x14ac:dyDescent="0.25">
      <c r="A2140" t="str">
        <f>"03253"</f>
        <v>03253</v>
      </c>
      <c r="B2140" t="str">
        <f>"AM PLUS MM Q954H - SIKKENS"</f>
        <v>AM PLUS MM Q954H - SIKKENS</v>
      </c>
      <c r="C2140">
        <v>159144.18</v>
      </c>
      <c r="D2140">
        <v>192564.45779999997</v>
      </c>
    </row>
    <row r="2141" spans="1:4" x14ac:dyDescent="0.25">
      <c r="A2141" t="str">
        <f>"03254"</f>
        <v>03254</v>
      </c>
      <c r="B2141" t="str">
        <f>"AM PLUS MM Q964F - SIKKENS"</f>
        <v>AM PLUS MM Q964F - SIKKENS</v>
      </c>
      <c r="C2141">
        <v>95987.16</v>
      </c>
      <c r="D2141">
        <v>116144.4636</v>
      </c>
    </row>
    <row r="2142" spans="1:4" x14ac:dyDescent="0.25">
      <c r="A2142" t="str">
        <f>"03255"</f>
        <v>03255</v>
      </c>
      <c r="B2142" t="str">
        <f>"AM PLUS MM Q952M - SIKKENS"</f>
        <v>AM PLUS MM Q952M - SIKKENS</v>
      </c>
      <c r="C2142">
        <v>133705.85999999999</v>
      </c>
      <c r="D2142">
        <v>161784.09059999997</v>
      </c>
    </row>
    <row r="2143" spans="1:4" x14ac:dyDescent="0.25">
      <c r="A2143" t="str">
        <f>"03256"</f>
        <v>03256</v>
      </c>
      <c r="B2143" t="str">
        <f>"LIQUITECH BORDES Y PISOS ATERMICOS X 4L BLANCO - MERCLIN"</f>
        <v>LIQUITECH BORDES Y PISOS ATERMICOS X 4L BLANCO - MERCLIN</v>
      </c>
      <c r="C2143">
        <v>53242.43</v>
      </c>
      <c r="D2143">
        <v>64423.340299999996</v>
      </c>
    </row>
    <row r="2144" spans="1:4" x14ac:dyDescent="0.25">
      <c r="A2144" t="str">
        <f>"03257"</f>
        <v>03257</v>
      </c>
      <c r="B2144" t="str">
        <f>"LIQUITECH BORDES Y PISOS ATERMICOS X 4L MARFIL - MERCLIN"</f>
        <v>LIQUITECH BORDES Y PISOS ATERMICOS X 4L MARFIL - MERCLIN</v>
      </c>
      <c r="C2144">
        <v>53242.43</v>
      </c>
      <c r="D2144">
        <v>64423.340299999996</v>
      </c>
    </row>
    <row r="2145" spans="1:4" x14ac:dyDescent="0.25">
      <c r="A2145" t="str">
        <f>"03258"</f>
        <v>03258</v>
      </c>
      <c r="B2145" t="str">
        <f>"SELLADOR FIJADOR PARA PISCINA DE HORMIGON LIQUITECH X 5L - MERCLIN"</f>
        <v>SELLADOR FIJADOR PARA PISCINA DE HORMIGON LIQUITECH X 5L - MERCLIN</v>
      </c>
      <c r="C2145">
        <v>51465.69</v>
      </c>
      <c r="D2145">
        <v>62273.484900000003</v>
      </c>
    </row>
    <row r="2146" spans="1:4" x14ac:dyDescent="0.25">
      <c r="A2146" t="str">
        <f>"03259"</f>
        <v>03259</v>
      </c>
      <c r="B2146" t="str">
        <f>"PINCEL HOBBY WHITE N° 10 - HOBBY WHITE"</f>
        <v>PINCEL HOBBY WHITE N° 10 - HOBBY WHITE</v>
      </c>
      <c r="C2146">
        <v>1248.6300000000001</v>
      </c>
      <c r="D2146">
        <v>1510.8423</v>
      </c>
    </row>
    <row r="2147" spans="1:4" x14ac:dyDescent="0.25">
      <c r="A2147" t="str">
        <f>"03260"</f>
        <v>03260</v>
      </c>
      <c r="B2147" t="str">
        <f>"PINCEL HOBBY WHITE N° 15 - HOBBY WHITE"</f>
        <v>PINCEL HOBBY WHITE N° 15 - HOBBY WHITE</v>
      </c>
      <c r="C2147">
        <v>1420.28</v>
      </c>
      <c r="D2147">
        <v>1718.5387999999998</v>
      </c>
    </row>
    <row r="2148" spans="1:4" x14ac:dyDescent="0.25">
      <c r="A2148" t="str">
        <f>"03261"</f>
        <v>03261</v>
      </c>
      <c r="B2148" t="str">
        <f>"PINCEL HOBBY WHITE N° 20 - HOBBY WHITE"</f>
        <v>PINCEL HOBBY WHITE N° 20 - HOBBY WHITE</v>
      </c>
      <c r="C2148">
        <v>2025.48</v>
      </c>
      <c r="D2148">
        <v>2450.8307999999997</v>
      </c>
    </row>
    <row r="2149" spans="1:4" x14ac:dyDescent="0.25">
      <c r="A2149" t="str">
        <f>"03262"</f>
        <v>03262</v>
      </c>
      <c r="B2149" t="str">
        <f>"PINCEL HOBBY WHITE N° 25 - HOBBY WHITE"</f>
        <v>PINCEL HOBBY WHITE N° 25 - HOBBY WHITE</v>
      </c>
      <c r="C2149">
        <v>2993.74</v>
      </c>
      <c r="D2149">
        <v>3622.4253999999996</v>
      </c>
    </row>
    <row r="2150" spans="1:4" x14ac:dyDescent="0.25">
      <c r="A2150" t="str">
        <f>"03263"</f>
        <v>03263</v>
      </c>
      <c r="B2150" t="str">
        <f>"PINCEL HOBBY WHITE N° 30 - HOBBY WHITE"</f>
        <v>PINCEL HOBBY WHITE N° 30 - HOBBY WHITE</v>
      </c>
      <c r="C2150">
        <v>3806.21</v>
      </c>
      <c r="D2150">
        <v>4605.5141000000003</v>
      </c>
    </row>
    <row r="2151" spans="1:4" x14ac:dyDescent="0.25">
      <c r="A2151" t="str">
        <f>"03264"</f>
        <v>03264</v>
      </c>
      <c r="B2151" t="str">
        <f>"RODILLO ANTIGOTA ACRILICO N°22 - MAGIC"</f>
        <v>RODILLO ANTIGOTA ACRILICO N°22 - MAGIC</v>
      </c>
      <c r="C2151">
        <v>3309.89</v>
      </c>
      <c r="D2151">
        <v>4004.9668999999999</v>
      </c>
    </row>
    <row r="2152" spans="1:4" x14ac:dyDescent="0.25">
      <c r="A2152" t="str">
        <f>"03265"</f>
        <v>03265</v>
      </c>
      <c r="B2152" t="str">
        <f>"VENIATEX 3 EN 1 GRIS SATINADO X 20L- VENIATEX"</f>
        <v>VENIATEX 3 EN 1 GRIS SATINADO X 20L- VENIATEX</v>
      </c>
      <c r="C2152">
        <v>149232.93</v>
      </c>
      <c r="D2152">
        <v>180571.84529999999</v>
      </c>
    </row>
    <row r="2153" spans="1:4" x14ac:dyDescent="0.25">
      <c r="A2153" t="str">
        <f>"03266"</f>
        <v>03266</v>
      </c>
      <c r="B2153" t="str">
        <f>"VENIADRIL IMPREGNANTE SILICONADO X 1LT - VENIATEX"</f>
        <v>VENIADRIL IMPREGNANTE SILICONADO X 1LT - VENIATEX</v>
      </c>
      <c r="C2153">
        <v>6744.38</v>
      </c>
      <c r="D2153">
        <v>8160.6998000000003</v>
      </c>
    </row>
    <row r="2154" spans="1:4" x14ac:dyDescent="0.25">
      <c r="A2154" t="str">
        <f>"03267"</f>
        <v>03267</v>
      </c>
      <c r="B2154" t="str">
        <f>"VACRI 5100 POLIURETANO  GRIS HIELO 1029 X 4L (3.2L + 0.8L) SATINADO"</f>
        <v>VACRI 5100 POLIURETANO  GRIS HIELO 1029 X 4L (3.2L + 0.8L) SATINADO</v>
      </c>
      <c r="C2154">
        <v>159216.82999999999</v>
      </c>
      <c r="D2154">
        <v>192652.36429999999</v>
      </c>
    </row>
    <row r="2155" spans="1:4" x14ac:dyDescent="0.25">
      <c r="A2155" t="str">
        <f>"03268"</f>
        <v>03268</v>
      </c>
      <c r="B2155" t="str">
        <f>"VACRIL1500 DILUYENTE POLIURETANO X 4 L"</f>
        <v>VACRIL1500 DILUYENTE POLIURETANO X 4 L</v>
      </c>
      <c r="C2155">
        <v>70273.240000000005</v>
      </c>
      <c r="D2155">
        <v>85030.6204</v>
      </c>
    </row>
    <row r="2156" spans="1:4" x14ac:dyDescent="0.25">
      <c r="A2156" t="str">
        <f>"03269"</f>
        <v>03269</v>
      </c>
      <c r="B2156" t="str">
        <f>"ACCION COMPARTIDA"</f>
        <v>ACCION COMPARTIDA</v>
      </c>
      <c r="C2156">
        <v>0</v>
      </c>
      <c r="D2156">
        <v>0</v>
      </c>
    </row>
    <row r="2157" spans="1:4" x14ac:dyDescent="0.25">
      <c r="A2157" t="str">
        <f>"03270"</f>
        <v>03270</v>
      </c>
      <c r="B2157" t="str">
        <f>"LATEX INTERIOR SATINADO LAVABLE X 4L -VENIATEX"</f>
        <v>LATEX INTERIOR SATINADO LAVABLE X 4L -VENIATEX</v>
      </c>
      <c r="C2157">
        <v>33172.43</v>
      </c>
      <c r="D2157">
        <v>40138.640299999999</v>
      </c>
    </row>
    <row r="2158" spans="1:4" x14ac:dyDescent="0.25">
      <c r="A2158" t="str">
        <f>"03271"</f>
        <v>03271</v>
      </c>
      <c r="B2158" t="str">
        <f>"LATEX INTERIOR SATINADO LAVABLE X 10L -VENIATEX"</f>
        <v>LATEX INTERIOR SATINADO LAVABLE X 10L -VENIATEX</v>
      </c>
      <c r="C2158">
        <v>78160.83</v>
      </c>
      <c r="D2158">
        <v>94574.604300000006</v>
      </c>
    </row>
    <row r="2159" spans="1:4" x14ac:dyDescent="0.25">
      <c r="A2159" t="str">
        <f>"03272"</f>
        <v>03272</v>
      </c>
      <c r="B2159" t="str">
        <f>"LATEX INTERIOR SATINADO LAVABLE X 20L -VENIATEX"</f>
        <v>LATEX INTERIOR SATINADO LAVABLE X 20L -VENIATEX</v>
      </c>
      <c r="C2159">
        <v>150724.20000000001</v>
      </c>
      <c r="D2159">
        <v>182376.28200000001</v>
      </c>
    </row>
    <row r="2160" spans="1:4" x14ac:dyDescent="0.25">
      <c r="A2160" t="str">
        <f>"03274"</f>
        <v>03274</v>
      </c>
      <c r="B2160" t="str">
        <f>"BICAPA DE WANDA - ROJO LISO"</f>
        <v>BICAPA DE WANDA - ROJO LISO</v>
      </c>
      <c r="C2160">
        <v>60306.82</v>
      </c>
      <c r="D2160">
        <v>72971.252200000003</v>
      </c>
    </row>
    <row r="2161" spans="1:4" x14ac:dyDescent="0.25">
      <c r="A2161" t="str">
        <f>"03275"</f>
        <v>03275</v>
      </c>
      <c r="B2161" t="str">
        <f>"PASTA PARA PULIR 106 AL AGUA X 150 GR - SHERWIN WILIAMS"</f>
        <v>PASTA PARA PULIR 106 AL AGUA X 150 GR - SHERWIN WILIAMS</v>
      </c>
      <c r="C2161">
        <v>7474.33</v>
      </c>
      <c r="D2161">
        <v>9043.9393</v>
      </c>
    </row>
    <row r="2162" spans="1:4" x14ac:dyDescent="0.25">
      <c r="A2162" t="str">
        <f>"03276"</f>
        <v>03276</v>
      </c>
      <c r="B2162" t="str">
        <f>"MASILLA MULTISUPERFICIE 6 KG - SINTEPLAST"</f>
        <v>MASILLA MULTISUPERFICIE 6 KG - SINTEPLAST</v>
      </c>
      <c r="C2162">
        <v>22636.09</v>
      </c>
      <c r="D2162">
        <v>27389.668900000001</v>
      </c>
    </row>
    <row r="2163" spans="1:4" x14ac:dyDescent="0.25">
      <c r="A2163" t="str">
        <f>"03277"</f>
        <v>03277</v>
      </c>
      <c r="B2163" t="str">
        <f>"SIKA PRIMER P/SELLADOR POLIURETANO X 250 ML"</f>
        <v>SIKA PRIMER P/SELLADOR POLIURETANO X 250 ML</v>
      </c>
      <c r="C2163">
        <v>44467.22</v>
      </c>
      <c r="D2163">
        <v>53805.336199999998</v>
      </c>
    </row>
    <row r="2164" spans="1:4" x14ac:dyDescent="0.25">
      <c r="A2164" t="str">
        <f>"03278"</f>
        <v>03278</v>
      </c>
      <c r="B2164" t="str">
        <f>"FILTROS CONICOS DE PAPEL DE 190µ  - NORTON"</f>
        <v>FILTROS CONICOS DE PAPEL DE 190µ  - NORTON</v>
      </c>
      <c r="C2164">
        <v>299.52999999999997</v>
      </c>
      <c r="D2164">
        <v>362.43129999999996</v>
      </c>
    </row>
    <row r="2165" spans="1:4" x14ac:dyDescent="0.25">
      <c r="A2165" t="str">
        <f>"03279"</f>
        <v>03279</v>
      </c>
      <c r="B2165" t="str">
        <f>"THINNER ORO X 200 L - GEO"</f>
        <v>THINNER ORO X 200 L - GEO</v>
      </c>
      <c r="C2165">
        <v>829382.4</v>
      </c>
      <c r="D2165">
        <v>1003552.704</v>
      </c>
    </row>
    <row r="2166" spans="1:4" x14ac:dyDescent="0.25">
      <c r="A2166" t="str">
        <f>"03280"</f>
        <v>03280</v>
      </c>
      <c r="B2166" t="str">
        <f>"ACRILPLAST INT/EXT MATE 20 L  - SINTEPLAST"</f>
        <v>ACRILPLAST INT/EXT MATE 20 L  - SINTEPLAST</v>
      </c>
      <c r="C2166">
        <v>128539.41</v>
      </c>
      <c r="D2166">
        <v>155532.68609999999</v>
      </c>
    </row>
    <row r="2167" spans="1:4" x14ac:dyDescent="0.25">
      <c r="A2167" t="str">
        <f>"03281"</f>
        <v>03281</v>
      </c>
      <c r="B2167" t="str">
        <f>"RODILLO WHIZ 3´´ (7 CM) - MAGIC"</f>
        <v>RODILLO WHIZ 3´´ (7 CM) - MAGIC</v>
      </c>
      <c r="C2167">
        <v>2837.05</v>
      </c>
      <c r="D2167">
        <v>3432.8305</v>
      </c>
    </row>
    <row r="2168" spans="1:4" x14ac:dyDescent="0.25">
      <c r="A2168" t="str">
        <f>"03282"</f>
        <v>03282</v>
      </c>
      <c r="B2168" t="str">
        <f>"RODILLO WHIZ 4´´ (11 CM) - MAGIC"</f>
        <v>RODILLO WHIZ 4´´ (11 CM) - MAGIC</v>
      </c>
      <c r="C2168">
        <v>3376.95</v>
      </c>
      <c r="D2168">
        <v>4086.1094999999996</v>
      </c>
    </row>
    <row r="2169" spans="1:4" x14ac:dyDescent="0.25">
      <c r="A2169" t="str">
        <f>"03283"</f>
        <v>03283</v>
      </c>
      <c r="B2169" t="str">
        <f>"NEGOCIO ESPECIAL"</f>
        <v>NEGOCIO ESPECIAL</v>
      </c>
      <c r="C2169">
        <v>0</v>
      </c>
      <c r="D2169">
        <v>0</v>
      </c>
    </row>
    <row r="2170" spans="1:4" x14ac:dyDescent="0.25">
      <c r="A2170" t="str">
        <f>"03284"</f>
        <v>03284</v>
      </c>
      <c r="B2170" t="str">
        <f>"RODILLO WHIZ 6´´ (16 CM) - MAGIC"</f>
        <v>RODILLO WHIZ 6´´ (16 CM) - MAGIC</v>
      </c>
      <c r="C2170">
        <v>4047.39</v>
      </c>
      <c r="D2170">
        <v>4897.3418999999994</v>
      </c>
    </row>
    <row r="2171" spans="1:4" x14ac:dyDescent="0.25">
      <c r="A2171" t="str">
        <f>"03285"</f>
        <v>03285</v>
      </c>
      <c r="B2171" t="str">
        <f>"TECNICO COMPARTIDO SEPTIEMBRE"</f>
        <v>TECNICO COMPARTIDO SEPTIEMBRE</v>
      </c>
      <c r="C2171">
        <v>0</v>
      </c>
      <c r="D2171">
        <v>0</v>
      </c>
    </row>
    <row r="2172" spans="1:4" x14ac:dyDescent="0.25">
      <c r="A2172" t="str">
        <f>"03286"</f>
        <v>03286</v>
      </c>
      <c r="B2172" t="str">
        <f>"TRICAPA SIKKENS - BLANCO + PERLA"</f>
        <v>TRICAPA SIKKENS - BLANCO + PERLA</v>
      </c>
      <c r="C2172">
        <v>119318.18</v>
      </c>
      <c r="D2172">
        <v>144374.99779999998</v>
      </c>
    </row>
    <row r="2173" spans="1:4" x14ac:dyDescent="0.25">
      <c r="A2173" t="str">
        <f>"03287"</f>
        <v>03287</v>
      </c>
      <c r="B2173" t="str">
        <f>"VENIATEX PISO DEPORTIVO X 4L- VENIATEX"</f>
        <v>VENIATEX PISO DEPORTIVO X 4L- VENIATEX</v>
      </c>
      <c r="C2173">
        <v>40597.69</v>
      </c>
      <c r="D2173">
        <v>49123.204900000004</v>
      </c>
    </row>
    <row r="2174" spans="1:4" x14ac:dyDescent="0.25">
      <c r="A2174" t="str">
        <f>"03288"</f>
        <v>03288</v>
      </c>
      <c r="B2174" t="str">
        <f>"VENIATEX PISO DEPORTIVO X 10L- VENIATEX"</f>
        <v>VENIATEX PISO DEPORTIVO X 10L- VENIATEX</v>
      </c>
      <c r="C2174">
        <v>77608.639999999999</v>
      </c>
      <c r="D2174">
        <v>93906.454400000002</v>
      </c>
    </row>
    <row r="2175" spans="1:4" x14ac:dyDescent="0.25">
      <c r="A2175" t="str">
        <f>"03291"</f>
        <v>03291</v>
      </c>
      <c r="B2175" t="str">
        <f>"ESM. SINT. BLANCO BRILLANTE  -  330.100-3.6  -  FARBEN"</f>
        <v>ESM. SINT. BLANCO BRILLANTE  -  330.100-3.6  -  FARBEN</v>
      </c>
      <c r="C2175">
        <v>35942.82</v>
      </c>
      <c r="D2175">
        <v>43490.8122</v>
      </c>
    </row>
    <row r="2176" spans="1:4" x14ac:dyDescent="0.25">
      <c r="A2176" t="str">
        <f>"03292"</f>
        <v>03292</v>
      </c>
      <c r="B2176" t="str">
        <f>"ESM. SINT. BLANCO BRILLANTE  -  330.100-0.9  -  FARBEN"</f>
        <v>ESM. SINT. BLANCO BRILLANTE  -  330.100-0.9  -  FARBEN</v>
      </c>
      <c r="C2176">
        <v>10030.549999999999</v>
      </c>
      <c r="D2176">
        <v>12136.965499999998</v>
      </c>
    </row>
    <row r="2177" spans="1:4" x14ac:dyDescent="0.25">
      <c r="A2177" t="str">
        <f>"03293"</f>
        <v>03293</v>
      </c>
      <c r="B2177" t="str">
        <f>"ESM. SINT. GRIS CINZA MEDIO  -  330.160-3.6  -  FARBEN"</f>
        <v>ESM. SINT. GRIS CINZA MEDIO  -  330.160-3.6  -  FARBEN</v>
      </c>
      <c r="C2177">
        <v>35942.82</v>
      </c>
      <c r="D2177">
        <v>43490.8122</v>
      </c>
    </row>
    <row r="2178" spans="1:4" x14ac:dyDescent="0.25">
      <c r="A2178" t="str">
        <f>"03294"</f>
        <v>03294</v>
      </c>
      <c r="B2178" t="str">
        <f>"ESM. SINT. GRIS CINZA MEDIO  -  330.160-0.9  -  FARBEN"</f>
        <v>ESM. SINT. GRIS CINZA MEDIO  -  330.160-0.9  -  FARBEN</v>
      </c>
      <c r="C2178">
        <v>10030.549999999999</v>
      </c>
      <c r="D2178">
        <v>12136.965499999998</v>
      </c>
    </row>
    <row r="2179" spans="1:4" x14ac:dyDescent="0.25">
      <c r="A2179" t="str">
        <f>"03295"</f>
        <v>03295</v>
      </c>
      <c r="B2179" t="str">
        <f>"ESM. SINT. GRIS CINZA OSCURO  -  330.170-3.6  -  FARBEN"</f>
        <v>ESM. SINT. GRIS CINZA OSCURO  -  330.170-3.6  -  FARBEN</v>
      </c>
      <c r="C2179">
        <v>35942.82</v>
      </c>
      <c r="D2179">
        <v>43490.8122</v>
      </c>
    </row>
    <row r="2180" spans="1:4" x14ac:dyDescent="0.25">
      <c r="A2180" t="str">
        <f>"03296"</f>
        <v>03296</v>
      </c>
      <c r="B2180" t="str">
        <f>"ESM. SINT. GRIS CINZA OSCURO  -  330.170-0.9  -  FARBEN"</f>
        <v>ESM. SINT. GRIS CINZA OSCURO  -  330.170-0.9  -  FARBEN</v>
      </c>
      <c r="C2180">
        <v>10030.549999999999</v>
      </c>
      <c r="D2180">
        <v>12136.965499999998</v>
      </c>
    </row>
    <row r="2181" spans="1:4" x14ac:dyDescent="0.25">
      <c r="A2181" t="str">
        <f>"03297"</f>
        <v>03297</v>
      </c>
      <c r="B2181" t="str">
        <f>"ESM. SINT. NEGRO PRETO  -  330.900-3.6  -  FARBEN"</f>
        <v>ESM. SINT. NEGRO PRETO  -  330.900-3.6  -  FARBEN</v>
      </c>
      <c r="C2181">
        <v>35942.82</v>
      </c>
      <c r="D2181">
        <v>43490.8122</v>
      </c>
    </row>
    <row r="2182" spans="1:4" x14ac:dyDescent="0.25">
      <c r="A2182" t="str">
        <f>"03298"</f>
        <v>03298</v>
      </c>
      <c r="B2182" t="str">
        <f>"ESM. SINT. NEGRO PRETO  -  330.900-0.9  -  FARBEN"</f>
        <v>ESM. SINT. NEGRO PRETO  -  330.900-0.9  -  FARBEN</v>
      </c>
      <c r="C2182">
        <v>10030.549999999999</v>
      </c>
      <c r="D2182">
        <v>12136.965499999998</v>
      </c>
    </row>
    <row r="2183" spans="1:4" x14ac:dyDescent="0.25">
      <c r="A2183" t="str">
        <f>"03299"</f>
        <v>03299</v>
      </c>
      <c r="B2183" t="str">
        <f>"VENIATEX 3 EN 1 GRIS SATINADO X 4L- VENIATEX"</f>
        <v>VENIATEX 3 EN 1 GRIS SATINADO X 4L- VENIATEX</v>
      </c>
      <c r="C2183">
        <v>32775.599999999999</v>
      </c>
      <c r="D2183">
        <v>39658.475999999995</v>
      </c>
    </row>
    <row r="2184" spans="1:4" x14ac:dyDescent="0.25">
      <c r="A2184" t="str">
        <f>"03300"</f>
        <v>03300</v>
      </c>
      <c r="B2184" t="str">
        <f>"PINCEL YAGO N°10 - ROSARPIN"</f>
        <v>PINCEL YAGO N°10 - ROSARPIN</v>
      </c>
      <c r="C2184">
        <v>4040.09</v>
      </c>
      <c r="D2184">
        <v>4888.5088999999998</v>
      </c>
    </row>
    <row r="2185" spans="1:4" x14ac:dyDescent="0.25">
      <c r="A2185" t="str">
        <f>"03301"</f>
        <v>03301</v>
      </c>
      <c r="B2185" t="str">
        <f>"PINCEL YAGO N°15 - ROSARPIN"</f>
        <v>PINCEL YAGO N°15 - ROSARPIN</v>
      </c>
      <c r="C2185">
        <v>5033.9799999999996</v>
      </c>
      <c r="D2185">
        <v>6091.1157999999996</v>
      </c>
    </row>
    <row r="2186" spans="1:4" x14ac:dyDescent="0.25">
      <c r="A2186" t="str">
        <f>"03302"</f>
        <v>03302</v>
      </c>
      <c r="B2186" t="str">
        <f>"PINCEL YAGO N°20 - ROSARPIN"</f>
        <v>PINCEL YAGO N°20 - ROSARPIN</v>
      </c>
      <c r="C2186">
        <v>6027.41</v>
      </c>
      <c r="D2186">
        <v>7293.1660999999995</v>
      </c>
    </row>
    <row r="2187" spans="1:4" x14ac:dyDescent="0.25">
      <c r="A2187" t="str">
        <f>"03303"</f>
        <v>03303</v>
      </c>
      <c r="B2187" t="str">
        <f>"PINCEL YAGO N°25 - ROSARPIN"</f>
        <v>PINCEL YAGO N°25 - ROSARPIN</v>
      </c>
      <c r="C2187">
        <v>7096.93</v>
      </c>
      <c r="D2187">
        <v>8587.2852999999996</v>
      </c>
    </row>
    <row r="2188" spans="1:4" x14ac:dyDescent="0.25">
      <c r="A2188" t="str">
        <f>"03304"</f>
        <v>03304</v>
      </c>
      <c r="B2188" t="str">
        <f>"PINCEL YAGO N°30 - ROSARPIN"</f>
        <v>PINCEL YAGO N°30 - ROSARPIN</v>
      </c>
      <c r="C2188">
        <v>8611.93</v>
      </c>
      <c r="D2188">
        <v>10420.435299999999</v>
      </c>
    </row>
    <row r="2189" spans="1:4" x14ac:dyDescent="0.25">
      <c r="A2189" t="str">
        <f>"03305"</f>
        <v>03305</v>
      </c>
      <c r="B2189" t="str">
        <f>"DESCUENTO PRONTO PAGO"</f>
        <v>DESCUENTO PRONTO PAGO</v>
      </c>
      <c r="C2189">
        <v>0</v>
      </c>
      <c r="D2189">
        <v>0</v>
      </c>
    </row>
    <row r="2190" spans="1:4" x14ac:dyDescent="0.25">
      <c r="A2190" t="str">
        <f>"03306"</f>
        <v>03306</v>
      </c>
      <c r="B2190" t="str">
        <f>"FILTROS CONICOS DE PAPEL DE 190MIC  - SHERWIN WILIAMS"</f>
        <v>FILTROS CONICOS DE PAPEL DE 190MIC  - SHERWIN WILIAMS</v>
      </c>
      <c r="C2190">
        <v>286.89999999999998</v>
      </c>
      <c r="D2190">
        <v>347.14899999999994</v>
      </c>
    </row>
    <row r="2191" spans="1:4" x14ac:dyDescent="0.25">
      <c r="A2191" t="str">
        <f>"03307"</f>
        <v>03307</v>
      </c>
      <c r="B2191" t="str">
        <f>"COLADOR REUTILIZABLE  - SHERWIN WILIAMS"</f>
        <v>COLADOR REUTILIZABLE  - SHERWIN WILIAMS</v>
      </c>
      <c r="C2191">
        <v>1681.79</v>
      </c>
      <c r="D2191">
        <v>2034.9658999999999</v>
      </c>
    </row>
    <row r="2192" spans="1:4" x14ac:dyDescent="0.25">
      <c r="A2192" t="str">
        <f>"03308"</f>
        <v>03308</v>
      </c>
      <c r="B2192" t="str">
        <f>"ADAPTADOR DE M14 A 5/8¨ ZEOCAR"</f>
        <v>ADAPTADOR DE M14 A 5/8¨ ZEOCAR</v>
      </c>
      <c r="C2192">
        <v>5176.7299999999996</v>
      </c>
      <c r="D2192">
        <v>6263.8432999999995</v>
      </c>
    </row>
    <row r="2193" spans="1:4" x14ac:dyDescent="0.25">
      <c r="A2193" t="str">
        <f>"03309"</f>
        <v>03309</v>
      </c>
      <c r="B2193" t="str">
        <f>"DISCO FIBRA 115X22 GRANO N°36 F227 - NORTON"</f>
        <v>DISCO FIBRA 115X22 GRANO N°36 F227 - NORTON</v>
      </c>
      <c r="C2193">
        <v>1979.75</v>
      </c>
      <c r="D2193">
        <v>2395.4974999999999</v>
      </c>
    </row>
    <row r="2194" spans="1:4" x14ac:dyDescent="0.25">
      <c r="A2194" t="str">
        <f>"03310"</f>
        <v>03310</v>
      </c>
      <c r="B2194" t="str">
        <f>"PLATO SOPORTE 6.5¨ P/PULIDORA M14 - ZEOCAR"</f>
        <v>PLATO SOPORTE 6.5¨ P/PULIDORA M14 - ZEOCAR</v>
      </c>
      <c r="C2194">
        <v>19800.990000000002</v>
      </c>
      <c r="D2194">
        <v>23959.197900000003</v>
      </c>
    </row>
    <row r="2195" spans="1:4" x14ac:dyDescent="0.25">
      <c r="A2195" t="str">
        <f>"03311"</f>
        <v>03311</v>
      </c>
      <c r="B2195" t="str">
        <f>"DISCO FIBRA 115X22 GRANO N°50 F227 - NORTON"</f>
        <v>DISCO FIBRA 115X22 GRANO N°50 F227 - NORTON</v>
      </c>
      <c r="C2195">
        <v>1979.75</v>
      </c>
      <c r="D2195">
        <v>2395.4974999999999</v>
      </c>
    </row>
    <row r="2196" spans="1:4" x14ac:dyDescent="0.25">
      <c r="A2196" t="str">
        <f>"03312"</f>
        <v>03312</v>
      </c>
      <c r="B2196" t="str">
        <f>"RODILLO FUSION ANTIGOTA - PINROLL"</f>
        <v>RODILLO FUSION ANTIGOTA - PINROLL</v>
      </c>
      <c r="C2196">
        <v>4070.44</v>
      </c>
      <c r="D2196">
        <v>4925.2323999999999</v>
      </c>
    </row>
    <row r="2197" spans="1:4" x14ac:dyDescent="0.25">
      <c r="A2197" t="str">
        <f>"03315"</f>
        <v>03315</v>
      </c>
      <c r="B2197" t="str">
        <f>"ALBALUX DIAM 3EN1 CASTAÑO - 01 L - ALBA"</f>
        <v>ALBALUX DIAM 3EN1 CASTAÑO - 01 L - ALBA</v>
      </c>
      <c r="C2197">
        <v>14969.59</v>
      </c>
      <c r="D2197">
        <v>18113.2039</v>
      </c>
    </row>
    <row r="2198" spans="1:4" x14ac:dyDescent="0.25">
      <c r="A2198" t="str">
        <f>"03317"</f>
        <v>03317</v>
      </c>
      <c r="B2198" t="str">
        <f>"CROMATICA DUNAS GRISES SAT 20 L - EMAPI"</f>
        <v>CROMATICA DUNAS GRISES SAT 20 L - EMAPI</v>
      </c>
      <c r="C2198">
        <v>150692.76</v>
      </c>
      <c r="D2198">
        <v>182338.2396</v>
      </c>
    </row>
    <row r="2199" spans="1:4" x14ac:dyDescent="0.25">
      <c r="A2199" t="str">
        <f>"03318"</f>
        <v>03318</v>
      </c>
      <c r="B2199" t="str">
        <f>"ALBALUX  2 EN 1 MARFIL CHAMPAGNE - 01 L - ALBA"</f>
        <v>ALBALUX  2 EN 1 MARFIL CHAMPAGNE - 01 L - ALBA</v>
      </c>
      <c r="C2199">
        <v>16486.259999999998</v>
      </c>
      <c r="D2199">
        <v>19948.374599999999</v>
      </c>
    </row>
    <row r="2200" spans="1:4" x14ac:dyDescent="0.25">
      <c r="A2200" t="str">
        <f>"03319"</f>
        <v>03319</v>
      </c>
      <c r="B2200" t="str">
        <f>"VENIATEX PISO DEPORTIVO X 20L- VENIATEX"</f>
        <v>VENIATEX PISO DEPORTIVO X 20L- VENIATEX</v>
      </c>
      <c r="C2200">
        <v>144505.01999999999</v>
      </c>
      <c r="D2200">
        <v>174851.07419999997</v>
      </c>
    </row>
    <row r="2201" spans="1:4" x14ac:dyDescent="0.25">
      <c r="A2201" t="str">
        <f>"03320"</f>
        <v>03320</v>
      </c>
      <c r="B2201" t="str">
        <f>"BASE COAT  NF X 25KL - SINTEPLAST"</f>
        <v>BASE COAT  NF X 25KL - SINTEPLAST</v>
      </c>
      <c r="C2201">
        <v>18158.52</v>
      </c>
      <c r="D2201">
        <v>21971.8092</v>
      </c>
    </row>
    <row r="2202" spans="1:4" x14ac:dyDescent="0.25">
      <c r="A2202" t="str">
        <f>"03321"</f>
        <v>03321</v>
      </c>
      <c r="B2202" t="str">
        <f>"EMAPI PILETAS AZUL INTENSO 4 L - EMAPI"</f>
        <v>EMAPI PILETAS AZUL INTENSO 4 L - EMAPI</v>
      </c>
      <c r="C2202">
        <v>28960.080000000002</v>
      </c>
      <c r="D2202">
        <v>35041.696799999998</v>
      </c>
    </row>
    <row r="2203" spans="1:4" x14ac:dyDescent="0.25">
      <c r="A2203" t="str">
        <f>"03322"</f>
        <v>03322</v>
      </c>
      <c r="B2203" t="str">
        <f>"CTNET IVA 27%"</f>
        <v>CTNET IVA 27%</v>
      </c>
      <c r="C2203">
        <v>0</v>
      </c>
      <c r="D2203">
        <v>0</v>
      </c>
    </row>
    <row r="2204" spans="1:4" x14ac:dyDescent="0.25">
      <c r="A2204" t="str">
        <f>"03323"</f>
        <v>03323</v>
      </c>
      <c r="B2204" t="str">
        <f>"ESM. SINT. NARANJA SC 81  -  531.6610-3.6  -  FARBEN"</f>
        <v>ESM. SINT. NARANJA SC 81  -  531.6610-3.6  -  FARBEN</v>
      </c>
      <c r="C2204">
        <v>48885.02</v>
      </c>
      <c r="D2204">
        <v>59150.874199999991</v>
      </c>
    </row>
    <row r="2205" spans="1:4" x14ac:dyDescent="0.25">
      <c r="A2205" t="str">
        <f>"03324"</f>
        <v>03324</v>
      </c>
      <c r="B2205" t="str">
        <f>"PROBELL LASUR ROBLE SATINADO X 4L - MERCLIN"</f>
        <v>PROBELL LASUR ROBLE SATINADO X 4L - MERCLIN</v>
      </c>
      <c r="C2205">
        <v>46530.37</v>
      </c>
      <c r="D2205">
        <v>56301.7477</v>
      </c>
    </row>
    <row r="2206" spans="1:4" x14ac:dyDescent="0.25">
      <c r="A2206" t="str">
        <f>"03325"</f>
        <v>03325</v>
      </c>
      <c r="B2206" t="str">
        <f>"LATEX NF INTERIOR X 1 LT - DISTINCION"</f>
        <v>LATEX NF INTERIOR X 1 LT - DISTINCION</v>
      </c>
      <c r="C2206">
        <v>3092.91</v>
      </c>
      <c r="D2206">
        <v>3742.4210999999996</v>
      </c>
    </row>
    <row r="2207" spans="1:4" x14ac:dyDescent="0.25">
      <c r="A2207" t="str">
        <f>"03326"</f>
        <v>03326</v>
      </c>
      <c r="B2207" t="str">
        <f>"LUMINOR X4 NOGAL 1 L - POLACRIN"</f>
        <v>LUMINOR X4 NOGAL 1 L - POLACRIN</v>
      </c>
      <c r="C2207">
        <v>3993</v>
      </c>
      <c r="D2207">
        <v>4831.53</v>
      </c>
    </row>
    <row r="2208" spans="1:4" x14ac:dyDescent="0.25">
      <c r="A2208" t="str">
        <f>"03327"</f>
        <v>03327</v>
      </c>
      <c r="B2208" t="str">
        <f>"LUMINOR X4 ROBLE 1 L - POLACRIN"</f>
        <v>LUMINOR X4 ROBLE 1 L - POLACRIN</v>
      </c>
      <c r="C2208">
        <v>3993</v>
      </c>
      <c r="D2208">
        <v>4831.53</v>
      </c>
    </row>
    <row r="2209" spans="1:4" x14ac:dyDescent="0.25">
      <c r="A2209" t="str">
        <f>"03328"</f>
        <v>03328</v>
      </c>
      <c r="B2209" t="str">
        <f>"PRIMER PU HS GRIS OSCU. SEC. RAPIDO  -  513.512-0.75  -  FARBEN"</f>
        <v>PRIMER PU HS GRIS OSCU. SEC. RAPIDO  -  513.512-0.75  -  FARBEN</v>
      </c>
      <c r="C2209">
        <v>12440.67</v>
      </c>
      <c r="D2209">
        <v>15053.2107</v>
      </c>
    </row>
    <row r="2210" spans="1:4" x14ac:dyDescent="0.25">
      <c r="A2210" t="str">
        <f>"03329"</f>
        <v>03329</v>
      </c>
      <c r="B2210" t="str">
        <f>"LIJA DISCO A396 5¨ N60 - NORTON"</f>
        <v>LIJA DISCO A396 5¨ N60 - NORTON</v>
      </c>
      <c r="C2210">
        <v>587.95000000000005</v>
      </c>
      <c r="D2210">
        <v>711.41950000000008</v>
      </c>
    </row>
    <row r="2211" spans="1:4" x14ac:dyDescent="0.25">
      <c r="A2211" t="str">
        <f>"03330"</f>
        <v>03330</v>
      </c>
      <c r="B2211" t="str">
        <f>"LIJA DISCO A396 5¨ N80 - NORTON"</f>
        <v>LIJA DISCO A396 5¨ N80 - NORTON</v>
      </c>
      <c r="C2211">
        <v>587.95000000000005</v>
      </c>
      <c r="D2211">
        <v>711.41950000000008</v>
      </c>
    </row>
    <row r="2212" spans="1:4" x14ac:dyDescent="0.25">
      <c r="A2212" t="str">
        <f>"03331"</f>
        <v>03331</v>
      </c>
      <c r="B2212" t="str">
        <f>"LIJA DISCO A396 5¨ N120 - NORTON"</f>
        <v>LIJA DISCO A396 5¨ N120 - NORTON</v>
      </c>
      <c r="C2212">
        <v>587.95000000000005</v>
      </c>
      <c r="D2212">
        <v>711.41950000000008</v>
      </c>
    </row>
    <row r="2213" spans="1:4" x14ac:dyDescent="0.25">
      <c r="A2213" t="str">
        <f>"03332"</f>
        <v>03332</v>
      </c>
      <c r="B2213" t="str">
        <f>"LIJA DISCO A396 5¨ N150 - NORTON"</f>
        <v>LIJA DISCO A396 5¨ N150 - NORTON</v>
      </c>
      <c r="C2213">
        <v>587.95000000000005</v>
      </c>
      <c r="D2213">
        <v>711.41950000000008</v>
      </c>
    </row>
    <row r="2214" spans="1:4" x14ac:dyDescent="0.25">
      <c r="A2214" t="str">
        <f>"03333"</f>
        <v>03333</v>
      </c>
      <c r="B2214" t="str">
        <f>"LIJA DISCO A396 5¨ N180 - NORTON"</f>
        <v>LIJA DISCO A396 5¨ N180 - NORTON</v>
      </c>
      <c r="C2214">
        <v>587.95000000000005</v>
      </c>
      <c r="D2214">
        <v>711.41950000000008</v>
      </c>
    </row>
    <row r="2215" spans="1:4" x14ac:dyDescent="0.25">
      <c r="A2215" t="str">
        <f>"03334"</f>
        <v>03334</v>
      </c>
      <c r="B2215" t="str">
        <f>"AEROSOL VERDE INGLES BRILLANTE X 240 CC - KUWAIT"</f>
        <v>AEROSOL VERDE INGLES BRILLANTE X 240 CC - KUWAIT</v>
      </c>
      <c r="C2215">
        <v>3940.29</v>
      </c>
      <c r="D2215">
        <v>4767.7509</v>
      </c>
    </row>
    <row r="2216" spans="1:4" x14ac:dyDescent="0.25">
      <c r="A2216" t="str">
        <f>"03335"</f>
        <v>03335</v>
      </c>
      <c r="B2216" t="str">
        <f>"VASOS DE CATALISIS AUTOMOTOR 0.45 L - SHERWIN WILLIAMS"</f>
        <v>VASOS DE CATALISIS AUTOMOTOR 0.45 L - SHERWIN WILLIAMS</v>
      </c>
      <c r="C2216">
        <v>1003.27</v>
      </c>
      <c r="D2216">
        <v>1213.9567</v>
      </c>
    </row>
    <row r="2217" spans="1:4" x14ac:dyDescent="0.25">
      <c r="A2217" t="str">
        <f>"03336"</f>
        <v>03336</v>
      </c>
      <c r="B2217" t="str">
        <f>"VASOS DE CATALISIS AUTOMOTOR 1.5 L - SHERWIN WILLIAMS"</f>
        <v>VASOS DE CATALISIS AUTOMOTOR 1.5 L - SHERWIN WILLIAMS</v>
      </c>
      <c r="C2217">
        <v>1913.09</v>
      </c>
      <c r="D2217">
        <v>2314.8388999999997</v>
      </c>
    </row>
    <row r="2218" spans="1:4" x14ac:dyDescent="0.25">
      <c r="A2218" t="str">
        <f>"03337"</f>
        <v>03337</v>
      </c>
      <c r="B2218" t="str">
        <f>"PISCINAS DE FIBRA LIQUITECH BASE AGUA BLANCO X 4L - MERCLIN"</f>
        <v>PISCINAS DE FIBRA LIQUITECH BASE AGUA BLANCO X 4L - MERCLIN</v>
      </c>
      <c r="C2218">
        <v>52517.19</v>
      </c>
      <c r="D2218">
        <v>63545.799899999998</v>
      </c>
    </row>
    <row r="2219" spans="1:4" x14ac:dyDescent="0.25">
      <c r="A2219" t="str">
        <f>"03338"</f>
        <v>03338</v>
      </c>
      <c r="B2219" t="str">
        <f>"TELA LIQUIDA BASE P X 3.8 L - VENEZIA"</f>
        <v>TELA LIQUIDA BASE P X 3.8 L - VENEZIA</v>
      </c>
      <c r="C2219">
        <v>63204.41</v>
      </c>
      <c r="D2219">
        <v>76477.3361</v>
      </c>
    </row>
    <row r="2220" spans="1:4" x14ac:dyDescent="0.25">
      <c r="A2220" t="str">
        <f>"03339"</f>
        <v>03339</v>
      </c>
      <c r="B2220" t="str">
        <f>"TELA LIQUIDA BASE SEMI INTENSA X 3.8 L - VENEZIA"</f>
        <v>TELA LIQUIDA BASE SEMI INTENSA X 3.8 L - VENEZIA</v>
      </c>
      <c r="C2220">
        <v>63204.41</v>
      </c>
      <c r="D2220">
        <v>76477.3361</v>
      </c>
    </row>
    <row r="2221" spans="1:4" x14ac:dyDescent="0.25">
      <c r="A2221" t="str">
        <f>"03340"</f>
        <v>03340</v>
      </c>
      <c r="B2221" t="str">
        <f>"TEXTURADO PIEDRA HISTORICA TRADICIONAL TIZA X 25KG - VENEZIA"</f>
        <v>TEXTURADO PIEDRA HISTORICA TRADICIONAL TIZA X 25KG - VENEZIA</v>
      </c>
      <c r="C2221">
        <v>102527.81</v>
      </c>
      <c r="D2221">
        <v>124058.6501</v>
      </c>
    </row>
    <row r="2222" spans="1:4" x14ac:dyDescent="0.25">
      <c r="A2222" t="str">
        <f>"03341"</f>
        <v>03341</v>
      </c>
      <c r="B2222" t="str">
        <f>"EMAPI PILETAS AZUL INTENSO 20 L - EMAPI"</f>
        <v>EMAPI PILETAS AZUL INTENSO 20 L - EMAPI</v>
      </c>
      <c r="C2222">
        <v>122029</v>
      </c>
      <c r="D2222">
        <v>147655.09</v>
      </c>
    </row>
    <row r="2223" spans="1:4" x14ac:dyDescent="0.25">
      <c r="A2223" t="str">
        <f>"03342"</f>
        <v>03342</v>
      </c>
      <c r="B2223" t="str">
        <f>"EMAPI PILETAS AZUL INTENSO 10 L - EMAPI"</f>
        <v>EMAPI PILETAS AZUL INTENSO 10 L - EMAPI</v>
      </c>
      <c r="C2223">
        <v>65268.04</v>
      </c>
      <c r="D2223">
        <v>78974.328399999999</v>
      </c>
    </row>
    <row r="2224" spans="1:4" x14ac:dyDescent="0.25">
      <c r="A2224" t="str">
        <f>"03343"</f>
        <v>03343</v>
      </c>
      <c r="B2224" t="str">
        <f>"PISTOLA DE PINTAR TC-SY 500 S  500W - EINHELL"</f>
        <v>PISTOLA DE PINTAR TC-SY 500 S  500W - EINHELL</v>
      </c>
      <c r="C2224">
        <v>118855.34</v>
      </c>
      <c r="D2224">
        <v>143814.9614</v>
      </c>
    </row>
    <row r="2225" spans="1:4" x14ac:dyDescent="0.25">
      <c r="A2225" t="str">
        <f>"03344"</f>
        <v>03344</v>
      </c>
      <c r="B2225" t="str">
        <f>"PULIDORA EINHELL CC-PO 1100/150 CE - EINHELL"</f>
        <v>PULIDORA EINHELL CC-PO 1100/150 CE - EINHELL</v>
      </c>
      <c r="C2225">
        <v>242342.35</v>
      </c>
      <c r="D2225">
        <v>293234.24349999998</v>
      </c>
    </row>
    <row r="2226" spans="1:4" x14ac:dyDescent="0.25">
      <c r="A2226" t="str">
        <f>"03345"</f>
        <v>03345</v>
      </c>
      <c r="B2226" t="str">
        <f>"LIJA SINTEPLAST GRANO N°600 - SINTEPLAST"</f>
        <v>LIJA SINTEPLAST GRANO N°600 - SINTEPLAST</v>
      </c>
      <c r="C2226">
        <v>584.1</v>
      </c>
      <c r="D2226">
        <v>706.76099999999997</v>
      </c>
    </row>
    <row r="2227" spans="1:4" x14ac:dyDescent="0.25">
      <c r="A2227" t="str">
        <f>"03346"</f>
        <v>03346</v>
      </c>
      <c r="B2227" t="str">
        <f>"LIJA SINTEPLAST GRANO N°1200 - SINTEPLAST"</f>
        <v>LIJA SINTEPLAST GRANO N°1200 - SINTEPLAST</v>
      </c>
      <c r="C2227">
        <v>584.1</v>
      </c>
      <c r="D2227">
        <v>706.76099999999997</v>
      </c>
    </row>
    <row r="2228" spans="1:4" x14ac:dyDescent="0.25">
      <c r="A2228" t="str">
        <f>"03347"</f>
        <v>03347</v>
      </c>
      <c r="B2228" t="str">
        <f>"LIJA SINTEPLAST GRANO N°2000 - SINTEPLAST"</f>
        <v>LIJA SINTEPLAST GRANO N°2000 - SINTEPLAST</v>
      </c>
      <c r="C2228">
        <v>584.1</v>
      </c>
      <c r="D2228">
        <v>706.76099999999997</v>
      </c>
    </row>
    <row r="2229" spans="1:4" x14ac:dyDescent="0.25">
      <c r="A2229" t="str">
        <f>"03348"</f>
        <v>03348</v>
      </c>
      <c r="B2229" t="str">
        <f>"LIJA SINTEPLAST GRANO N°3000 - SINTEPLAST"</f>
        <v>LIJA SINTEPLAST GRANO N°3000 - SINTEPLAST</v>
      </c>
      <c r="C2229">
        <v>584.1</v>
      </c>
      <c r="D2229">
        <v>706.76099999999997</v>
      </c>
    </row>
    <row r="2230" spans="1:4" x14ac:dyDescent="0.25">
      <c r="A2230" t="str">
        <f>"03350"</f>
        <v>03350</v>
      </c>
      <c r="B2230" t="str">
        <f>"SELLA CANALETAS TEKBOND INCOLORO X 300 ML"</f>
        <v>SELLA CANALETAS TEKBOND INCOLORO X 300 ML</v>
      </c>
      <c r="C2230">
        <v>7425</v>
      </c>
      <c r="D2230">
        <v>8984.25</v>
      </c>
    </row>
    <row r="2231" spans="1:4" x14ac:dyDescent="0.25">
      <c r="A2231" t="str">
        <f>"03351"</f>
        <v>03351</v>
      </c>
      <c r="B2231" t="s">
        <v>12</v>
      </c>
      <c r="C2231">
        <v>5564.98</v>
      </c>
      <c r="D2231">
        <v>6733.6257999999989</v>
      </c>
    </row>
    <row r="2232" spans="1:4" x14ac:dyDescent="0.25">
      <c r="A2232" t="str">
        <f>"03352"</f>
        <v>03352</v>
      </c>
      <c r="B2232" t="str">
        <f>"HIDROESMALTE EPOXI PISOS Y PAREDES NEGRO 1L - SINTEPLAST"</f>
        <v>HIDROESMALTE EPOXI PISOS Y PAREDES NEGRO 1L - SINTEPLAST</v>
      </c>
      <c r="C2232">
        <v>28562.42</v>
      </c>
      <c r="D2232">
        <v>34560.528199999993</v>
      </c>
    </row>
    <row r="2233" spans="1:4" x14ac:dyDescent="0.25">
      <c r="A2233" t="str">
        <f>"03353"</f>
        <v>03353</v>
      </c>
      <c r="B2233" t="str">
        <f>"HIDROESMALTE EPOXI PISOS Y PAREDES BLANCO 4L - SINTEPLAST"</f>
        <v>HIDROESMALTE EPOXI PISOS Y PAREDES BLANCO 4L - SINTEPLAST</v>
      </c>
      <c r="C2233">
        <v>101010.74</v>
      </c>
      <c r="D2233">
        <v>122222.9954</v>
      </c>
    </row>
    <row r="2234" spans="1:4" x14ac:dyDescent="0.25">
      <c r="A2234" t="str">
        <f>"03354"</f>
        <v>03354</v>
      </c>
      <c r="B2234" t="str">
        <f>"VENIATEX 3 EN 1 GRIS BRILLANTE  X 20L- VENIATEX"</f>
        <v>VENIATEX 3 EN 1 GRIS BRILLANTE  X 20L- VENIATEX</v>
      </c>
      <c r="C2234">
        <v>171009.14</v>
      </c>
      <c r="D2234">
        <v>206921.0594</v>
      </c>
    </row>
    <row r="2235" spans="1:4" x14ac:dyDescent="0.25">
      <c r="A2235" t="str">
        <f>"03355"</f>
        <v>03355</v>
      </c>
      <c r="B2235" t="str">
        <f>"LATEX VENIACRIL LAVABLE INT EXT X 200LT - VENIATEX"</f>
        <v>LATEX VENIACRIL LAVABLE INT EXT X 200LT - VENIATEX</v>
      </c>
      <c r="C2235">
        <v>714869.1</v>
      </c>
      <c r="D2235">
        <v>864991.61099999992</v>
      </c>
    </row>
    <row r="2236" spans="1:4" x14ac:dyDescent="0.25">
      <c r="A2236" t="str">
        <f>"03356"</f>
        <v>03356</v>
      </c>
      <c r="B2236" t="str">
        <f>"IMPERMEABILIZANTE FRENTES U MUROS X 200L - VENIATEX"</f>
        <v>IMPERMEABILIZANTE FRENTES U MUROS X 200L - VENIATEX</v>
      </c>
      <c r="C2236">
        <v>1288521.3</v>
      </c>
      <c r="D2236">
        <v>1559110.773</v>
      </c>
    </row>
    <row r="2237" spans="1:4" x14ac:dyDescent="0.25">
      <c r="A2237" t="str">
        <f>"03357"</f>
        <v>03357</v>
      </c>
      <c r="B2237" t="str">
        <f>"IMPERMEABILIZANTE FRENTES U MUROS X 4L - VENIATEX"</f>
        <v>IMPERMEABILIZANTE FRENTES U MUROS X 4L - VENIATEX</v>
      </c>
      <c r="C2237">
        <v>30289.22</v>
      </c>
      <c r="D2237">
        <v>36649.956200000001</v>
      </c>
    </row>
    <row r="2238" spans="1:4" x14ac:dyDescent="0.25">
      <c r="A2238" t="str">
        <f>"03358"</f>
        <v>03358</v>
      </c>
      <c r="B2238" t="str">
        <f>"IMPERMEABILIZANTE FRENTES U MUROS X 1L - VENIATEX"</f>
        <v>IMPERMEABILIZANTE FRENTES U MUROS X 1L - VENIATEX</v>
      </c>
      <c r="C2238">
        <v>8212.7099999999991</v>
      </c>
      <c r="D2238">
        <v>9937.3790999999983</v>
      </c>
    </row>
    <row r="2239" spans="1:4" x14ac:dyDescent="0.25">
      <c r="A2239" t="str">
        <f>"03359"</f>
        <v>03359</v>
      </c>
      <c r="B2239" t="str">
        <f>"PRIMER SURFACER RAPIDO GRIS 0,9 L - SHERWIN WILIAMS"</f>
        <v>PRIMER SURFACER RAPIDO GRIS 0,9 L - SHERWIN WILIAMS</v>
      </c>
      <c r="C2239">
        <v>18564.91</v>
      </c>
      <c r="D2239">
        <v>22463.541099999999</v>
      </c>
    </row>
    <row r="2240" spans="1:4" x14ac:dyDescent="0.25">
      <c r="A2240" t="str">
        <f>"03360"</f>
        <v>03360</v>
      </c>
      <c r="B2240" t="str">
        <f>"ESMALTE SINTETICO DTM BLANCO BRILLANTE  X 4L - SINTEPLAST"</f>
        <v>ESMALTE SINTETICO DTM BLANCO BRILLANTE  X 4L - SINTEPLAST</v>
      </c>
      <c r="C2240">
        <v>33805.199999999997</v>
      </c>
      <c r="D2240">
        <v>40904.291999999994</v>
      </c>
    </row>
    <row r="2241" spans="1:4" x14ac:dyDescent="0.25">
      <c r="A2241" t="str">
        <f>"03361"</f>
        <v>03361</v>
      </c>
      <c r="B2241" t="str">
        <f>"TINTA COLORES VARIOS X 0,06 L - VARIAS"</f>
        <v>TINTA COLORES VARIOS X 0,06 L - VARIAS</v>
      </c>
      <c r="C2241">
        <v>1427.23</v>
      </c>
      <c r="D2241">
        <v>1726.9483</v>
      </c>
    </row>
    <row r="2242" spans="1:4" x14ac:dyDescent="0.25">
      <c r="A2242" t="str">
        <f>"03362"</f>
        <v>03362</v>
      </c>
      <c r="B2242" t="str">
        <f>"TINTA COLORES VARIOS X 0,24 L - VARIAS"</f>
        <v>TINTA COLORES VARIOS X 0,24 L - VARIAS</v>
      </c>
      <c r="C2242">
        <v>3466.13</v>
      </c>
      <c r="D2242">
        <v>4194.0173000000004</v>
      </c>
    </row>
    <row r="2243" spans="1:4" x14ac:dyDescent="0.25">
      <c r="A2243" t="str">
        <f>"03363"</f>
        <v>03363</v>
      </c>
      <c r="B2243" t="str">
        <f>"ALBA ESM BRI DOBLE ACC BERMELLON - 500CC - ALBA"</f>
        <v>ALBA ESM BRI DOBLE ACC BERMELLON - 500CC - ALBA</v>
      </c>
      <c r="C2243">
        <v>4908.6499999999996</v>
      </c>
      <c r="D2243">
        <v>5939.4664999999995</v>
      </c>
    </row>
    <row r="2244" spans="1:4" x14ac:dyDescent="0.25">
      <c r="A2244" t="str">
        <f>"03364"</f>
        <v>03364</v>
      </c>
      <c r="B2244" t="str">
        <f>"ALBA ESM BRI DOBLE ACC GRIS - 500CC - ALBA"</f>
        <v>ALBA ESM BRI DOBLE ACC GRIS - 500CC - ALBA</v>
      </c>
      <c r="C2244">
        <v>4908.6499999999996</v>
      </c>
      <c r="D2244">
        <v>5939.4664999999995</v>
      </c>
    </row>
    <row r="2245" spans="1:4" x14ac:dyDescent="0.25">
      <c r="A2245" t="str">
        <f>"03365"</f>
        <v>03365</v>
      </c>
      <c r="B2245" t="str">
        <f>"LIQUITECH CAUCHOGOMA IMPERMEABILIZANTE X 4L BLANCO - MERCLIN"</f>
        <v>LIQUITECH CAUCHOGOMA IMPERMEABILIZANTE X 4L BLANCO - MERCLIN</v>
      </c>
      <c r="C2245">
        <v>38413.71</v>
      </c>
      <c r="D2245">
        <v>46480.589099999997</v>
      </c>
    </row>
    <row r="2246" spans="1:4" x14ac:dyDescent="0.25">
      <c r="A2246" t="str">
        <f>"03366"</f>
        <v>03366</v>
      </c>
      <c r="B2246" t="str">
        <f>"BICAPA DE WANDA - NEGRO PERLADO"</f>
        <v>BICAPA DE WANDA - NEGRO PERLADO</v>
      </c>
      <c r="C2246">
        <v>41590.79</v>
      </c>
      <c r="D2246">
        <v>50324.855900000002</v>
      </c>
    </row>
    <row r="2247" spans="1:4" x14ac:dyDescent="0.25">
      <c r="A2247" t="str">
        <f>"03369"</f>
        <v>03369</v>
      </c>
      <c r="B2247" t="str">
        <f>"RODILLO EPOXI  22CM - ROSARPIN"</f>
        <v>RODILLO EPOXI  22CM - ROSARPIN</v>
      </c>
      <c r="C2247">
        <v>6049.27</v>
      </c>
      <c r="D2247">
        <v>7319.6167000000005</v>
      </c>
    </row>
    <row r="2248" spans="1:4" x14ac:dyDescent="0.25">
      <c r="A2248" t="str">
        <f>"03371"</f>
        <v>03371</v>
      </c>
      <c r="B2248" t="str">
        <f>"BICAPA DE SIKKENS - MARRON/BEIGE"</f>
        <v>BICAPA DE SIKKENS - MARRON/BEIGE</v>
      </c>
      <c r="C2248">
        <v>78484.92</v>
      </c>
      <c r="D2248">
        <v>94966.753199999992</v>
      </c>
    </row>
    <row r="2249" spans="1:4" x14ac:dyDescent="0.25">
      <c r="A2249" t="str">
        <f>"03372"</f>
        <v>03372</v>
      </c>
      <c r="B2249" t="str">
        <f>"BICAPA DE SIKKENS - NARANJA"</f>
        <v>BICAPA DE SIKKENS - NARANJA</v>
      </c>
      <c r="C2249">
        <v>147736.35999999999</v>
      </c>
      <c r="D2249">
        <v>178760.99559999997</v>
      </c>
    </row>
    <row r="2250" spans="1:4" x14ac:dyDescent="0.25">
      <c r="A2250" t="str">
        <f>"03373"</f>
        <v>03373</v>
      </c>
      <c r="B2250" t="str">
        <f>"BICAPA DE SIKKENS - NEGRO"</f>
        <v>BICAPA DE SIKKENS - NEGRO</v>
      </c>
      <c r="C2250">
        <v>64634.64</v>
      </c>
      <c r="D2250">
        <v>78207.914399999994</v>
      </c>
    </row>
    <row r="2251" spans="1:4" x14ac:dyDescent="0.25">
      <c r="A2251" t="str">
        <f>"03374"</f>
        <v>03374</v>
      </c>
      <c r="B2251" t="str">
        <f>"BICAPA DE SIKKENS - ROJO"</f>
        <v>BICAPA DE SIKKENS - ROJO</v>
      </c>
      <c r="C2251">
        <v>147736.35999999999</v>
      </c>
      <c r="D2251">
        <v>178760.99559999997</v>
      </c>
    </row>
    <row r="2252" spans="1:4" x14ac:dyDescent="0.25">
      <c r="A2252" t="str">
        <f>"03375"</f>
        <v>03375</v>
      </c>
      <c r="B2252" t="str">
        <f>"BICAPA DE SIKKENS - BLANCO"</f>
        <v>BICAPA DE SIKKENS - BLANCO</v>
      </c>
      <c r="C2252">
        <v>55397.73</v>
      </c>
      <c r="D2252">
        <v>67031.253299999997</v>
      </c>
    </row>
    <row r="2253" spans="1:4" x14ac:dyDescent="0.25">
      <c r="A2253" t="str">
        <f>"03376"</f>
        <v>03376</v>
      </c>
      <c r="B2253" t="str">
        <f>"VENTURY AQUADRY - FLIMPEX"</f>
        <v>VENTURY AQUADRY - FLIMPEX</v>
      </c>
      <c r="C2253">
        <v>520022.76</v>
      </c>
      <c r="D2253">
        <v>629227.53960000002</v>
      </c>
    </row>
    <row r="2254" spans="1:4" x14ac:dyDescent="0.25">
      <c r="A2254" t="str">
        <f>"03377"</f>
        <v>03377</v>
      </c>
      <c r="B2254" t="str">
        <f>"ESM. SINT. BLANCO SATINADO  -  330.115-0.9  -  FARBEN"</f>
        <v>ESM. SINT. BLANCO SATINADO  -  330.115-0.9  -  FARBEN</v>
      </c>
      <c r="C2254">
        <v>10030.549999999999</v>
      </c>
      <c r="D2254">
        <v>12136.965499999998</v>
      </c>
    </row>
    <row r="2255" spans="1:4" x14ac:dyDescent="0.25">
      <c r="A2255" t="str">
        <f>"03378"</f>
        <v>03378</v>
      </c>
      <c r="B2255" t="str">
        <f>"ESM. SINT. BLANCO SATINADO  -  330.115-3.6  -  FARBEN"</f>
        <v>ESM. SINT. BLANCO SATINADO  -  330.115-3.6  -  FARBEN</v>
      </c>
      <c r="C2255">
        <v>35942.82</v>
      </c>
      <c r="D2255">
        <v>43490.8122</v>
      </c>
    </row>
    <row r="2256" spans="1:4" x14ac:dyDescent="0.25">
      <c r="A2256" t="str">
        <f>"03379"</f>
        <v>03379</v>
      </c>
      <c r="B2256" t="str">
        <f>"ESM. SINT. NEGRO SATINADO  -  331.950-0.9  -  FARBEN"</f>
        <v>ESM. SINT. NEGRO SATINADO  -  331.950-0.9  -  FARBEN</v>
      </c>
      <c r="C2256">
        <v>11019.68</v>
      </c>
      <c r="D2256">
        <v>13333.8128</v>
      </c>
    </row>
    <row r="2257" spans="1:4" x14ac:dyDescent="0.25">
      <c r="A2257" t="str">
        <f>"03380"</f>
        <v>03380</v>
      </c>
      <c r="B2257" t="str">
        <f>"ESM. SINT. NEGRO SATINADO  -  331.950-3.6  -  FARBEN"</f>
        <v>ESM. SINT. NEGRO SATINADO  -  331.950-3.6  -  FARBEN</v>
      </c>
      <c r="C2257">
        <v>38422.6</v>
      </c>
      <c r="D2257">
        <v>46491.345999999998</v>
      </c>
    </row>
    <row r="2258" spans="1:4" x14ac:dyDescent="0.25">
      <c r="A2258" t="str">
        <f>"03381"</f>
        <v>03381</v>
      </c>
      <c r="B2258" t="str">
        <f>"GALVIBEN ACRILICO DF BLANCO - 110.1080-0.9 - FARBEN"</f>
        <v>GALVIBEN ACRILICO DF BLANCO - 110.1080-0.9 - FARBEN</v>
      </c>
      <c r="C2258">
        <v>11712.76</v>
      </c>
      <c r="D2258">
        <v>14172.4396</v>
      </c>
    </row>
    <row r="2259" spans="1:4" x14ac:dyDescent="0.25">
      <c r="A2259" t="str">
        <f>"03382"</f>
        <v>03382</v>
      </c>
      <c r="B2259" t="str">
        <f>"GALVIBEN ACRILICO DF NEGRO - 110.8550-0.9 - FARBEN"</f>
        <v>GALVIBEN ACRILICO DF NEGRO - 110.8550-0.9 - FARBEN</v>
      </c>
      <c r="C2259">
        <v>11712.76</v>
      </c>
      <c r="D2259">
        <v>14172.4396</v>
      </c>
    </row>
    <row r="2260" spans="1:4" x14ac:dyDescent="0.25">
      <c r="A2260" t="str">
        <f>"03383"</f>
        <v>03383</v>
      </c>
      <c r="B2260" t="str">
        <f>"BICAPA DE SIKKENS - ALUMINIO FINO"</f>
        <v>BICAPA DE SIKKENS - ALUMINIO FINO</v>
      </c>
      <c r="C2260">
        <v>87718.46</v>
      </c>
      <c r="D2260">
        <v>106139.33660000001</v>
      </c>
    </row>
    <row r="2261" spans="1:4" x14ac:dyDescent="0.25">
      <c r="A2261" t="str">
        <f>"03384"</f>
        <v>03384</v>
      </c>
      <c r="B2261" t="str">
        <f>"BICAPA DE SIKKENS - ALUMINIO GRUESO"</f>
        <v>BICAPA DE SIKKENS - ALUMINIO GRUESO</v>
      </c>
      <c r="C2261">
        <v>96951.99</v>
      </c>
      <c r="D2261">
        <v>117311.90790000001</v>
      </c>
    </row>
    <row r="2262" spans="1:4" x14ac:dyDescent="0.25">
      <c r="A2262" t="str">
        <f>"03385"</f>
        <v>03385</v>
      </c>
      <c r="B2262" t="str">
        <f>"BICAPA DE WANDA - ALUMINIO FINO"</f>
        <v>BICAPA DE WANDA - ALUMINIO FINO</v>
      </c>
      <c r="C2262">
        <v>38352.269999999997</v>
      </c>
      <c r="D2262">
        <v>46406.246699999996</v>
      </c>
    </row>
    <row r="2263" spans="1:4" x14ac:dyDescent="0.25">
      <c r="A2263" t="str">
        <f>"03387"</f>
        <v>03387</v>
      </c>
      <c r="B2263" t="str">
        <f>"BICAPA DE WANDA - ALUMINIO GRUESO"</f>
        <v>BICAPA DE WANDA - ALUMINIO GRUESO</v>
      </c>
      <c r="C2263">
        <v>57187.5</v>
      </c>
      <c r="D2263">
        <v>69196.875</v>
      </c>
    </row>
    <row r="2264" spans="1:4" x14ac:dyDescent="0.25">
      <c r="A2264" t="str">
        <f>"03388"</f>
        <v>03388</v>
      </c>
      <c r="B2264" t="str">
        <f>"BICAPA DE WANDA - AZUL / CELESTE"</f>
        <v>BICAPA DE WANDA - AZUL / CELESTE</v>
      </c>
      <c r="C2264">
        <v>67585.22</v>
      </c>
      <c r="D2264">
        <v>81778.116200000004</v>
      </c>
    </row>
    <row r="2265" spans="1:4" x14ac:dyDescent="0.25">
      <c r="A2265" t="str">
        <f>"03389"</f>
        <v>03389</v>
      </c>
      <c r="B2265" t="str">
        <f>"BICAPA DE WANDA - BLANCO"</f>
        <v>BICAPA DE WANDA - BLANCO</v>
      </c>
      <c r="C2265">
        <v>36392.07</v>
      </c>
      <c r="D2265">
        <v>44034.404699999999</v>
      </c>
    </row>
    <row r="2266" spans="1:4" x14ac:dyDescent="0.25">
      <c r="A2266" t="str">
        <f>"03390"</f>
        <v>03390</v>
      </c>
      <c r="B2266" t="str">
        <f>"BICAPA DE WANDA - MARRON/BEIGE"</f>
        <v>BICAPA DE WANDA - MARRON/BEIGE</v>
      </c>
      <c r="C2266">
        <v>51988.65</v>
      </c>
      <c r="D2266">
        <v>62906.266499999998</v>
      </c>
    </row>
    <row r="2267" spans="1:4" x14ac:dyDescent="0.25">
      <c r="A2267" t="str">
        <f>"03391"</f>
        <v>03391</v>
      </c>
      <c r="B2267" t="str">
        <f>"BICAPA DE WANDA - NARANJA"</f>
        <v>BICAPA DE WANDA - NARANJA</v>
      </c>
      <c r="C2267">
        <v>77982.960000000006</v>
      </c>
      <c r="D2267">
        <v>94359.381600000008</v>
      </c>
    </row>
    <row r="2268" spans="1:4" x14ac:dyDescent="0.25">
      <c r="A2268" t="str">
        <f>"03392"</f>
        <v>03392</v>
      </c>
      <c r="B2268" t="str">
        <f>"BICAPA DE WANDA - NEGRO"</f>
        <v>BICAPA DE WANDA - NEGRO</v>
      </c>
      <c r="C2268">
        <v>31193.18</v>
      </c>
      <c r="D2268">
        <v>37743.747799999997</v>
      </c>
    </row>
    <row r="2269" spans="1:4" x14ac:dyDescent="0.25">
      <c r="A2269" t="str">
        <f>"03393"</f>
        <v>03393</v>
      </c>
      <c r="B2269" t="str">
        <f>"BICAPA DE WANDA - ROJO PERLADO"</f>
        <v>BICAPA DE WANDA - ROJO PERLADO</v>
      </c>
      <c r="C2269">
        <v>67585.240000000005</v>
      </c>
      <c r="D2269">
        <v>81778.140400000004</v>
      </c>
    </row>
    <row r="2270" spans="1:4" x14ac:dyDescent="0.25">
      <c r="A2270" t="str">
        <f>"03394"</f>
        <v>03394</v>
      </c>
      <c r="B2270" t="str">
        <f>"TRICAPA DE WANDA - BLANCO"</f>
        <v>TRICAPA DE WANDA - BLANCO</v>
      </c>
      <c r="C2270">
        <v>76704.56</v>
      </c>
      <c r="D2270">
        <v>92812.517599999992</v>
      </c>
    </row>
    <row r="2271" spans="1:4" x14ac:dyDescent="0.25">
      <c r="A2271" t="str">
        <f>"03395"</f>
        <v>03395</v>
      </c>
      <c r="B2271" t="str">
        <f>"TRICAPA SIKKENS - BLANCO"</f>
        <v>TRICAPA SIKKENS - BLANCO</v>
      </c>
      <c r="C2271">
        <v>51136.35</v>
      </c>
      <c r="D2271">
        <v>61874.983499999995</v>
      </c>
    </row>
    <row r="2272" spans="1:4" x14ac:dyDescent="0.25">
      <c r="A2272" t="str">
        <f>"03396"</f>
        <v>03396</v>
      </c>
      <c r="B2272" t="str">
        <f>"TRICAPA SIKKENS - PERLA"</f>
        <v>TRICAPA SIKKENS - PERLA</v>
      </c>
      <c r="C2272">
        <v>68181.81</v>
      </c>
      <c r="D2272">
        <v>82499.990099999995</v>
      </c>
    </row>
    <row r="2273" spans="1:4" x14ac:dyDescent="0.25">
      <c r="A2273" t="str">
        <f>"03397"</f>
        <v>03397</v>
      </c>
      <c r="B2273" t="str">
        <f>"TRICAPA SIKKENS - BLANCO + PERLA"</f>
        <v>TRICAPA SIKKENS - BLANCO + PERLA</v>
      </c>
      <c r="C2273">
        <v>119318.18</v>
      </c>
      <c r="D2273">
        <v>144374.99779999998</v>
      </c>
    </row>
    <row r="2274" spans="1:4" x14ac:dyDescent="0.25">
      <c r="A2274" t="str">
        <f>"03398"</f>
        <v>03398</v>
      </c>
      <c r="B2274" t="str">
        <f>"IMPERMEABILIZANTE FRENTES Y MUROS X 4L - VENIATEX"</f>
        <v>IMPERMEABILIZANTE FRENTES Y MUROS X 4L - VENIATEX</v>
      </c>
      <c r="C2274">
        <v>136789.95000000001</v>
      </c>
      <c r="D2274">
        <v>165515.8395</v>
      </c>
    </row>
    <row r="2275" spans="1:4" x14ac:dyDescent="0.25">
      <c r="A2275" t="str">
        <f>"03399"</f>
        <v>03399</v>
      </c>
      <c r="B2275" t="str">
        <f>"DURALBA FRENTES Y MUROS NEGRO - 01 L - ALBA"</f>
        <v>DURALBA FRENTES Y MUROS NEGRO - 01 L - ALBA</v>
      </c>
      <c r="C2275">
        <v>13861.45</v>
      </c>
      <c r="D2275">
        <v>16772.354500000001</v>
      </c>
    </row>
    <row r="2276" spans="1:4" x14ac:dyDescent="0.25">
      <c r="A2276" t="str">
        <f>"03400"</f>
        <v>03400</v>
      </c>
      <c r="B2276" t="str">
        <f>"DURALBA FRENTES Y MUROS NEGRO - 04 L - ALBA"</f>
        <v>DURALBA FRENTES Y MUROS NEGRO - 04 L - ALBA</v>
      </c>
      <c r="C2276">
        <v>45049.46</v>
      </c>
      <c r="D2276">
        <v>54509.846599999997</v>
      </c>
    </row>
    <row r="2277" spans="1:4" x14ac:dyDescent="0.25">
      <c r="A2277" t="str">
        <f>"03401"</f>
        <v>03401</v>
      </c>
      <c r="B2277" t="str">
        <f>"DURALBA FRENTES Y MUROS NEGRO - 20 L - ALBA"</f>
        <v>DURALBA FRENTES Y MUROS NEGRO - 20 L - ALBA</v>
      </c>
      <c r="C2277">
        <v>173265.59</v>
      </c>
      <c r="D2277">
        <v>209651.3639</v>
      </c>
    </row>
    <row r="2278" spans="1:4" x14ac:dyDescent="0.25">
      <c r="A2278" t="str">
        <f>"03402"</f>
        <v>03402</v>
      </c>
      <c r="B2278" t="str">
        <f>"LIQUITECH MEMBRANA AUTOADHESIVA 15CM X 10M - MERCLIN"</f>
        <v>LIQUITECH MEMBRANA AUTOADHESIVA 15CM X 10M - MERCLIN</v>
      </c>
      <c r="C2278">
        <v>24289.77</v>
      </c>
      <c r="D2278">
        <v>29390.6217</v>
      </c>
    </row>
    <row r="2279" spans="1:4" x14ac:dyDescent="0.25">
      <c r="A2279" t="str">
        <f>"03403"</f>
        <v>03403</v>
      </c>
      <c r="B2279" t="str">
        <f>"PROMO TEXTURADO PIEDRA HISTORICA NATURAL T X 25KG - VENEZIA"</f>
        <v>PROMO TEXTURADO PIEDRA HISTORICA NATURAL T X 25KG - VENEZIA</v>
      </c>
      <c r="C2279">
        <v>0</v>
      </c>
      <c r="D2279">
        <v>0</v>
      </c>
    </row>
    <row r="2280" spans="1:4" x14ac:dyDescent="0.25">
      <c r="A2280" t="str">
        <f>"03404"</f>
        <v>03404</v>
      </c>
      <c r="B2280" t="str">
        <f>"SIKALASTIC 560 FIBRADO X 20KG - SIKA"</f>
        <v>SIKALASTIC 560 FIBRADO X 20KG - SIKA</v>
      </c>
      <c r="C2280">
        <v>224624.4</v>
      </c>
      <c r="D2280">
        <v>271795.52399999998</v>
      </c>
    </row>
    <row r="2281" spans="1:4" x14ac:dyDescent="0.25">
      <c r="A2281" t="str">
        <f>"03405"</f>
        <v>03405</v>
      </c>
      <c r="B2281" t="str">
        <f>"SIKAFILL FIBRADO X 20KG - SIKA"</f>
        <v>SIKAFILL FIBRADO X 20KG - SIKA</v>
      </c>
      <c r="C2281">
        <v>134774.64000000001</v>
      </c>
      <c r="D2281">
        <v>163077.3144</v>
      </c>
    </row>
    <row r="2282" spans="1:4" x14ac:dyDescent="0.25">
      <c r="A2282" t="str">
        <f>"03406"</f>
        <v>03406</v>
      </c>
      <c r="B2282" t="str">
        <f>"MEMBRANA POLIURETANICA BLANCA X 20K - TAPATODO"</f>
        <v>MEMBRANA POLIURETANICA BLANCA X 20K - TAPATODO</v>
      </c>
      <c r="C2282">
        <v>109293.65</v>
      </c>
      <c r="D2282">
        <v>132245.31649999999</v>
      </c>
    </row>
    <row r="2283" spans="1:4" x14ac:dyDescent="0.25">
      <c r="A2283" t="str">
        <f>"03408"</f>
        <v>03408</v>
      </c>
      <c r="B2283" t="str">
        <f>"RECUPLAST INT SUPERLAVABLE SATINADO 20 L  - SINTEPLAST"</f>
        <v>RECUPLAST INT SUPERLAVABLE SATINADO 20 L  - SINTEPLAST</v>
      </c>
      <c r="C2283">
        <v>233071.43</v>
      </c>
      <c r="D2283">
        <v>282016.43030000001</v>
      </c>
    </row>
    <row r="2284" spans="1:4" x14ac:dyDescent="0.25">
      <c r="A2284" t="str">
        <f>"03409"</f>
        <v>03409</v>
      </c>
      <c r="B2284" t="str">
        <f>"CINTA BIFAZ BLANCA 20MM X 2M - PULPITO"</f>
        <v>CINTA BIFAZ BLANCA 20MM X 2M - PULPITO</v>
      </c>
      <c r="C2284">
        <v>6886.08</v>
      </c>
      <c r="D2284">
        <v>8332.1567999999988</v>
      </c>
    </row>
    <row r="2285" spans="1:4" x14ac:dyDescent="0.25">
      <c r="A2285" t="str">
        <f>"03410"</f>
        <v>03410</v>
      </c>
      <c r="B2285" t="str">
        <f>"ESCALERA ALUMINIO 7  ESCALONES - BOTAFOGO"</f>
        <v>ESCALERA ALUMINIO 7  ESCALONES - BOTAFOGO</v>
      </c>
      <c r="C2285">
        <v>100270.03</v>
      </c>
      <c r="D2285">
        <v>121326.73629999999</v>
      </c>
    </row>
    <row r="2286" spans="1:4" x14ac:dyDescent="0.25">
      <c r="A2286" t="str">
        <f>"03411"</f>
        <v>03411</v>
      </c>
      <c r="B2286" t="str">
        <f>"ESCALERA ALUMINIO 6  ESCALONES - BOTAFOGO"</f>
        <v>ESCALERA ALUMINIO 6  ESCALONES - BOTAFOGO</v>
      </c>
      <c r="C2286">
        <v>84597.71</v>
      </c>
      <c r="D2286">
        <v>102363.22910000001</v>
      </c>
    </row>
    <row r="2287" spans="1:4" x14ac:dyDescent="0.25">
      <c r="A2287" t="str">
        <f>"03412"</f>
        <v>03412</v>
      </c>
      <c r="B2287" t="str">
        <f>"ESCALERA ALUMINIO 5  ESCALONES - BOTAFOGO"</f>
        <v>ESCALERA ALUMINIO 5  ESCALONES - BOTAFOGO</v>
      </c>
      <c r="C2287">
        <v>71617.62</v>
      </c>
      <c r="D2287">
        <v>86657.320199999987</v>
      </c>
    </row>
    <row r="2288" spans="1:4" x14ac:dyDescent="0.25">
      <c r="A2288" t="str">
        <f>"03413"</f>
        <v>03413</v>
      </c>
      <c r="B2288" t="str">
        <f>"ROBLINER PARA TINTEAR KIT - ROBERLO"</f>
        <v>ROBLINER PARA TINTEAR KIT - ROBERLO</v>
      </c>
      <c r="C2288">
        <v>471573.71</v>
      </c>
      <c r="D2288">
        <v>570604.18909999996</v>
      </c>
    </row>
    <row r="2289" spans="1:4" x14ac:dyDescent="0.25">
      <c r="A2289" t="str">
        <f>"03414"</f>
        <v>03414</v>
      </c>
      <c r="B2289" t="str">
        <f>"VACRI 4485 EPOXIPISO AUTOIMP GRIS HIELO X 8L (4L + 4L)"</f>
        <v>VACRI 4485 EPOXIPISO AUTOIMP GRIS HIELO X 8L (4L + 4L)</v>
      </c>
      <c r="C2289">
        <v>191257.65</v>
      </c>
      <c r="D2289">
        <v>231421.75649999999</v>
      </c>
    </row>
    <row r="2290" spans="1:4" x14ac:dyDescent="0.25">
      <c r="A2290" t="str">
        <f>"03415"</f>
        <v>03415</v>
      </c>
      <c r="B2290" t="str">
        <f>"ENDUIDO INTERIOR CASA BLANCA  X 1 LT - CASA BLANCA"</f>
        <v>ENDUIDO INTERIOR CASA BLANCA  X 1 LT - CASA BLANCA</v>
      </c>
      <c r="C2290">
        <v>4173.18</v>
      </c>
      <c r="D2290">
        <v>5049.5478000000003</v>
      </c>
    </row>
    <row r="2291" spans="1:4" x14ac:dyDescent="0.25">
      <c r="A2291" t="str">
        <f>"03416"</f>
        <v>03416</v>
      </c>
      <c r="B2291" t="str">
        <f>"PISTOLA DE PINTAR P780 - MOTA"</f>
        <v>PISTOLA DE PINTAR P780 - MOTA</v>
      </c>
      <c r="C2291">
        <v>164148.6</v>
      </c>
      <c r="D2291">
        <v>198619.80600000001</v>
      </c>
    </row>
    <row r="2292" spans="1:4" x14ac:dyDescent="0.25">
      <c r="A2292" t="str">
        <f>"03417"</f>
        <v>03417</v>
      </c>
      <c r="B2292" t="str">
        <f>"PISTOLA DE PINTAR P800 - MOTA"</f>
        <v>PISTOLA DE PINTAR P800 - MOTA</v>
      </c>
      <c r="C2292">
        <v>70843.08</v>
      </c>
      <c r="D2292">
        <v>85720.126799999998</v>
      </c>
    </row>
    <row r="2293" spans="1:4" x14ac:dyDescent="0.25">
      <c r="A2293" t="str">
        <f>"03418"</f>
        <v>03418</v>
      </c>
      <c r="B2293" t="str">
        <f>"AEROSOL 05 PLUS VERDE CLARO X 235CC - FUEGUINO"</f>
        <v>AEROSOL 05 PLUS VERDE CLARO X 235CC - FUEGUINO</v>
      </c>
      <c r="C2293">
        <v>4601.17</v>
      </c>
      <c r="D2293">
        <v>5567.4156999999996</v>
      </c>
    </row>
    <row r="2294" spans="1:4" x14ac:dyDescent="0.25">
      <c r="A2294" t="str">
        <f>"03419"</f>
        <v>03419</v>
      </c>
      <c r="B2294" t="str">
        <f>"AEROSOL PRO VINILO MULTIUSO NEGRO"</f>
        <v>AEROSOL PRO VINILO MULTIUSO NEGRO</v>
      </c>
      <c r="C2294">
        <v>25918.2</v>
      </c>
      <c r="D2294">
        <v>31361.022000000001</v>
      </c>
    </row>
    <row r="2295" spans="1:4" x14ac:dyDescent="0.25">
      <c r="A2295" t="str">
        <f>"03420"</f>
        <v>03420</v>
      </c>
      <c r="B2295" t="str">
        <f>"LIJA DISCO A275 N1500 - NORTON"</f>
        <v>LIJA DISCO A275 N1500 - NORTON</v>
      </c>
      <c r="C2295">
        <v>1141.24</v>
      </c>
      <c r="D2295">
        <v>1380.9004</v>
      </c>
    </row>
    <row r="2296" spans="1:4" x14ac:dyDescent="0.25">
      <c r="A2296" t="str">
        <f>"03421"</f>
        <v>03421</v>
      </c>
      <c r="B2296" t="str">
        <f>"DENVER LATEX INT/EXT BLANCO C/POLIURETANO- 20 L - ALBA"</f>
        <v>DENVER LATEX INT/EXT BLANCO C/POLIURETANO- 20 L - ALBA</v>
      </c>
      <c r="C2296">
        <v>74101.19</v>
      </c>
      <c r="D2296">
        <v>89662.439899999998</v>
      </c>
    </row>
    <row r="2297" spans="1:4" x14ac:dyDescent="0.25">
      <c r="A2297" t="str">
        <f>"03422"</f>
        <v>03422</v>
      </c>
      <c r="B2297" t="str">
        <f>"DENVER LATEX INT/EXT BLANCO C/POLIURETANO- 10 L - ALBA"</f>
        <v>DENVER LATEX INT/EXT BLANCO C/POLIURETANO- 10 L - ALBA</v>
      </c>
      <c r="C2297">
        <v>40665.339999999997</v>
      </c>
      <c r="D2297">
        <v>49205.061399999991</v>
      </c>
    </row>
    <row r="2298" spans="1:4" x14ac:dyDescent="0.25">
      <c r="A2298" t="str">
        <f>"03423"</f>
        <v>03423</v>
      </c>
      <c r="B2298" t="str">
        <f>"BARNIZ IGNIFUGO BRILLANTE X 04 L - TERSUAVE"</f>
        <v>BARNIZ IGNIFUGO BRILLANTE X 04 L - TERSUAVE</v>
      </c>
      <c r="C2298">
        <v>163009.39000000001</v>
      </c>
      <c r="D2298">
        <v>197241.36190000002</v>
      </c>
    </row>
    <row r="2299" spans="1:4" x14ac:dyDescent="0.25">
      <c r="A2299" t="str">
        <f>"03424"</f>
        <v>03424</v>
      </c>
      <c r="B2299" t="str">
        <f>"AEROSOL 05 PLUS VERDE X 235CC - FUEGUINO"</f>
        <v>AEROSOL 05 PLUS VERDE X 235CC - FUEGUINO</v>
      </c>
      <c r="C2299">
        <v>4601.17</v>
      </c>
      <c r="D2299">
        <v>5567.4156999999996</v>
      </c>
    </row>
    <row r="2300" spans="1:4" x14ac:dyDescent="0.25">
      <c r="A2300" t="str">
        <f>"03425"</f>
        <v>03425</v>
      </c>
      <c r="B2300" t="str">
        <f>"LIQUIDACION DISTINCION X 1LT"</f>
        <v>LIQUIDACION DISTINCION X 1LT</v>
      </c>
      <c r="C2300">
        <v>8104.8</v>
      </c>
      <c r="D2300">
        <v>9806.8079999999991</v>
      </c>
    </row>
    <row r="2301" spans="1:4" x14ac:dyDescent="0.25">
      <c r="A2301" t="str">
        <f>"03426"</f>
        <v>03426</v>
      </c>
      <c r="B2301" t="str">
        <f>"LIQUIDACION TENDENCIA X 1LT"</f>
        <v>LIQUIDACION TENDENCIA X 1LT</v>
      </c>
      <c r="C2301">
        <v>8104.8</v>
      </c>
      <c r="D2301">
        <v>9806.8079999999991</v>
      </c>
    </row>
    <row r="2302" spans="1:4" x14ac:dyDescent="0.25">
      <c r="A2302" t="str">
        <f>"03427"</f>
        <v>03427</v>
      </c>
      <c r="B2302" t="str">
        <f>"LIQUIDACION ALBALATEX MATE X 1LT"</f>
        <v>LIQUIDACION ALBALATEX MATE X 1LT</v>
      </c>
      <c r="C2302">
        <v>12540</v>
      </c>
      <c r="D2302">
        <v>15173.4</v>
      </c>
    </row>
    <row r="2303" spans="1:4" x14ac:dyDescent="0.25">
      <c r="A2303" t="str">
        <f>"03428"</f>
        <v>03428</v>
      </c>
      <c r="B2303" t="str">
        <f>"LIQUIDACION DURALBA X 1LT"</f>
        <v>LIQUIDACION DURALBA X 1LT</v>
      </c>
      <c r="C2303">
        <v>12272.7</v>
      </c>
      <c r="D2303">
        <v>14849.967000000001</v>
      </c>
    </row>
    <row r="2304" spans="1:4" x14ac:dyDescent="0.25">
      <c r="A2304" t="str">
        <f>"03429"</f>
        <v>03429</v>
      </c>
      <c r="B2304" t="str">
        <f>"LIQUIDACION ULTRA LAVABLE X 1LT"</f>
        <v>LIQUIDACION ULTRA LAVABLE X 1LT</v>
      </c>
      <c r="C2304">
        <v>13769.25</v>
      </c>
      <c r="D2304">
        <v>16660.7925</v>
      </c>
    </row>
    <row r="2305" spans="1:4" x14ac:dyDescent="0.25">
      <c r="A2305" t="str">
        <f>"03430"</f>
        <v>03430</v>
      </c>
      <c r="B2305" t="str">
        <f>"LIQUIDACION SATINOL X 1LT"</f>
        <v>LIQUIDACION SATINOL X 1LT</v>
      </c>
      <c r="C2305">
        <v>15420.9</v>
      </c>
      <c r="D2305">
        <v>18659.289000000001</v>
      </c>
    </row>
    <row r="2306" spans="1:4" x14ac:dyDescent="0.25">
      <c r="A2306" t="str">
        <f>"03431"</f>
        <v>03431</v>
      </c>
      <c r="B2306" t="str">
        <f>"LIQUIDACION ALBALATEX SATINADO X 1LT"</f>
        <v>LIQUIDACION ALBALATEX SATINADO X 1LT</v>
      </c>
      <c r="C2306">
        <v>18740.7</v>
      </c>
      <c r="D2306">
        <v>22676.246999999999</v>
      </c>
    </row>
    <row r="2307" spans="1:4" x14ac:dyDescent="0.25">
      <c r="A2307" t="str">
        <f>"03432"</f>
        <v>03432</v>
      </c>
      <c r="B2307" t="str">
        <f>"LIQUIDACION ALBACRYL X 4LT"</f>
        <v>LIQUIDACION ALBACRYL X 4LT</v>
      </c>
      <c r="C2307">
        <v>24474.45</v>
      </c>
      <c r="D2307">
        <v>29614.084500000001</v>
      </c>
    </row>
    <row r="2308" spans="1:4" x14ac:dyDescent="0.25">
      <c r="A2308" t="str">
        <f>"03433"</f>
        <v>03433</v>
      </c>
      <c r="B2308" t="str">
        <f>"LIQUIDACION ALBALATEX MATE X 4LT"</f>
        <v>LIQUIDACION ALBALATEX MATE X 4LT</v>
      </c>
      <c r="C2308">
        <v>36877.5</v>
      </c>
      <c r="D2308">
        <v>44621.775000000001</v>
      </c>
    </row>
    <row r="2309" spans="1:4" x14ac:dyDescent="0.25">
      <c r="A2309" t="str">
        <f>"03434"</f>
        <v>03434</v>
      </c>
      <c r="B2309" t="str">
        <f>"LIQUIDACION DURALBA X 4LT"</f>
        <v>LIQUIDACION DURALBA X 4LT</v>
      </c>
      <c r="C2309">
        <v>39600</v>
      </c>
      <c r="D2309">
        <v>47916</v>
      </c>
    </row>
    <row r="2310" spans="1:4" x14ac:dyDescent="0.25">
      <c r="A2310" t="str">
        <f>"03435"</f>
        <v>03435</v>
      </c>
      <c r="B2310" t="str">
        <f>"LIQUIDACION PRO MADERA LADRILLO X 4LT"</f>
        <v>LIQUIDACION PRO MADERA LADRILLO X 4LT</v>
      </c>
      <c r="C2310">
        <v>37950</v>
      </c>
      <c r="D2310">
        <v>45919.5</v>
      </c>
    </row>
    <row r="2311" spans="1:4" x14ac:dyDescent="0.25">
      <c r="A2311" t="str">
        <f>"03436"</f>
        <v>03436</v>
      </c>
      <c r="B2311" t="str">
        <f>"LIQUIDACION ESMALTES VARIOS X 4LT"</f>
        <v>LIQUIDACION ESMALTES VARIOS X 4LT</v>
      </c>
      <c r="C2311">
        <v>37950</v>
      </c>
      <c r="D2311">
        <v>45919.5</v>
      </c>
    </row>
    <row r="2312" spans="1:4" x14ac:dyDescent="0.25">
      <c r="A2312" t="str">
        <f>"03437"</f>
        <v>03437</v>
      </c>
      <c r="B2312" t="str">
        <f>"LIQUIDACION ALBALUX X 4LT"</f>
        <v>LIQUIDACION ALBALUX X 4LT</v>
      </c>
      <c r="C2312">
        <v>51628.5</v>
      </c>
      <c r="D2312">
        <v>62470.485000000001</v>
      </c>
    </row>
    <row r="2313" spans="1:4" x14ac:dyDescent="0.25">
      <c r="A2313" t="str">
        <f>"03438"</f>
        <v>03438</v>
      </c>
      <c r="B2313" t="str">
        <f>"LIQUIDACION SATINOL X 4LT"</f>
        <v>LIQUIDACION SATINOL X 4LT</v>
      </c>
      <c r="C2313">
        <v>53130</v>
      </c>
      <c r="D2313">
        <v>64287.299999999996</v>
      </c>
    </row>
    <row r="2314" spans="1:4" x14ac:dyDescent="0.25">
      <c r="A2314" t="str">
        <f>"03439"</f>
        <v>03439</v>
      </c>
      <c r="B2314" t="str">
        <f>"LIQUIDACION BRIKOL X 4LT"</f>
        <v>LIQUIDACION BRIKOL X 4LT</v>
      </c>
      <c r="C2314">
        <v>72600</v>
      </c>
      <c r="D2314">
        <v>87846</v>
      </c>
    </row>
    <row r="2315" spans="1:4" x14ac:dyDescent="0.25">
      <c r="A2315" t="str">
        <f>"03440"</f>
        <v>03440</v>
      </c>
      <c r="B2315" t="str">
        <f>"LIQUIDACION ALBAFRENT X 10 LT"</f>
        <v>LIQUIDACION ALBAFRENT X 10 LT</v>
      </c>
      <c r="C2315">
        <v>75360.45</v>
      </c>
      <c r="D2315">
        <v>91186.144499999995</v>
      </c>
    </row>
    <row r="2316" spans="1:4" x14ac:dyDescent="0.25">
      <c r="A2316" t="str">
        <f>"03441"</f>
        <v>03441</v>
      </c>
      <c r="B2316" t="str">
        <f>"LIQUIDACION DURALBA X 10 LT"</f>
        <v>LIQUIDACION DURALBA X 10 LT</v>
      </c>
      <c r="C2316">
        <v>84781.95</v>
      </c>
      <c r="D2316">
        <v>102586.15949999999</v>
      </c>
    </row>
    <row r="2317" spans="1:4" x14ac:dyDescent="0.25">
      <c r="A2317" t="str">
        <f>"03442"</f>
        <v>03442</v>
      </c>
      <c r="B2317" t="str">
        <f>"LIQUIDACION TEXTURADO PIEDRA HIST X 25 KG"</f>
        <v>LIQUIDACION TEXTURADO PIEDRA HIST X 25 KG</v>
      </c>
      <c r="C2317">
        <v>102527.7</v>
      </c>
      <c r="D2317">
        <v>124058.51699999999</v>
      </c>
    </row>
    <row r="2318" spans="1:4" x14ac:dyDescent="0.25">
      <c r="A2318" t="str">
        <f>"03443"</f>
        <v>03443</v>
      </c>
      <c r="B2318" t="str">
        <f>"LIQUIDACION ESMALTES VARIOS X 1 LT"</f>
        <v>LIQUIDACION ESMALTES VARIOS X 1 LT</v>
      </c>
      <c r="C2318">
        <v>11550</v>
      </c>
      <c r="D2318">
        <v>13975.5</v>
      </c>
    </row>
    <row r="2319" spans="1:4" x14ac:dyDescent="0.25">
      <c r="A2319" t="str">
        <f>"03444"</f>
        <v>03444</v>
      </c>
      <c r="B2319" t="str">
        <f>"AM PLUS MM Q552 - SIKKENS"</f>
        <v>AM PLUS MM Q552 - SIKKENS</v>
      </c>
      <c r="C2319">
        <v>190576.45</v>
      </c>
      <c r="D2319">
        <v>230597.50450000001</v>
      </c>
    </row>
    <row r="2320" spans="1:4" x14ac:dyDescent="0.25">
      <c r="A2320" t="str">
        <f>"03445"</f>
        <v>03445</v>
      </c>
      <c r="B2320" t="str">
        <f>"LIQUIDACION TEXTURADO BASE INTENSA FINA X 25 KG"</f>
        <v>LIQUIDACION TEXTURADO BASE INTENSA FINA X 25 KG</v>
      </c>
      <c r="C2320">
        <v>92282.85</v>
      </c>
      <c r="D2320">
        <v>111662.2485</v>
      </c>
    </row>
    <row r="2321" spans="1:4" x14ac:dyDescent="0.25">
      <c r="A2321" t="str">
        <f>"03446"</f>
        <v>03446</v>
      </c>
      <c r="B2321" t="str">
        <f>"LIQUIDACION TEXTURADO BLANCO FINO X 25 KG"</f>
        <v>LIQUIDACION TEXTURADO BLANCO FINO X 25 KG</v>
      </c>
      <c r="C2321">
        <v>92282.85</v>
      </c>
      <c r="D2321">
        <v>111662.2485</v>
      </c>
    </row>
    <row r="2322" spans="1:4" x14ac:dyDescent="0.25">
      <c r="A2322" t="str">
        <f>"03447"</f>
        <v>03447</v>
      </c>
      <c r="B2322" t="str">
        <f>"LIQUIDACION TEXTURADO CLASICO MED X 25 KG"</f>
        <v>LIQUIDACION TEXTURADO CLASICO MED X 25 KG</v>
      </c>
      <c r="C2322">
        <v>80850</v>
      </c>
      <c r="D2322">
        <v>97828.5</v>
      </c>
    </row>
    <row r="2323" spans="1:4" x14ac:dyDescent="0.25">
      <c r="A2323" t="str">
        <f>"03448"</f>
        <v>03448</v>
      </c>
      <c r="B2323" t="str">
        <f>"LIQUIDACION ALBALATEX MATE X 20 LT"</f>
        <v>LIQUIDACION ALBALATEX MATE X 20 LT</v>
      </c>
      <c r="C2323">
        <v>170362.5</v>
      </c>
      <c r="D2323">
        <v>206138.625</v>
      </c>
    </row>
    <row r="2324" spans="1:4" x14ac:dyDescent="0.25">
      <c r="A2324" t="str">
        <f>"03449"</f>
        <v>03449</v>
      </c>
      <c r="B2324" t="str">
        <f>"LIQUIDACION ALBALATEX ULTRA LAVABLE X 20 LT"</f>
        <v>LIQUIDACION ALBALATEX ULTRA LAVABLE X 20 LT</v>
      </c>
      <c r="C2324">
        <v>208890</v>
      </c>
      <c r="D2324">
        <v>252756.9</v>
      </c>
    </row>
    <row r="2325" spans="1:4" x14ac:dyDescent="0.25">
      <c r="A2325" t="str">
        <f>"03450"</f>
        <v>03450</v>
      </c>
      <c r="B2325" t="str">
        <f>"ALBAXPERT MATE BASE F - 17.4 L - ALBA"</f>
        <v>ALBAXPERT MATE BASE F - 17.4 L - ALBA</v>
      </c>
      <c r="C2325">
        <v>118572.14</v>
      </c>
      <c r="D2325">
        <v>143472.28940000001</v>
      </c>
    </row>
    <row r="2326" spans="1:4" x14ac:dyDescent="0.25">
      <c r="A2326" t="str">
        <f>"03451"</f>
        <v>03451</v>
      </c>
      <c r="B2326" t="str">
        <f>"ALBAXPERT MATE BASE F - 3.6 L - ALBA"</f>
        <v>ALBAXPERT MATE BASE F - 3.6 L - ALBA</v>
      </c>
      <c r="C2326">
        <v>30829.16</v>
      </c>
      <c r="D2326">
        <v>37303.283599999995</v>
      </c>
    </row>
    <row r="2327" spans="1:4" x14ac:dyDescent="0.25">
      <c r="A2327" t="str">
        <f>"03452"</f>
        <v>03452</v>
      </c>
      <c r="B2327" t="str">
        <f>"ALBAXPERT MATE BASE F - 900ML - ALBA"</f>
        <v>ALBAXPERT MATE BASE F - 900ML - ALBA</v>
      </c>
      <c r="C2327">
        <v>9485.9699999999993</v>
      </c>
      <c r="D2327">
        <v>11478.0237</v>
      </c>
    </row>
    <row r="2328" spans="1:4" x14ac:dyDescent="0.25">
      <c r="A2328" t="str">
        <f>"03453"</f>
        <v>03453</v>
      </c>
      <c r="B2328" t="str">
        <f>"ALBAXPERT MATE BASE P - 17.4L - ALBA"</f>
        <v>ALBAXPERT MATE BASE P - 17.4L - ALBA</v>
      </c>
      <c r="C2328">
        <v>125387.15</v>
      </c>
      <c r="D2328">
        <v>151718.4515</v>
      </c>
    </row>
    <row r="2329" spans="1:4" x14ac:dyDescent="0.25">
      <c r="A2329" t="str">
        <f>"03454"</f>
        <v>03454</v>
      </c>
      <c r="B2329" t="str">
        <f>"ALBAXPERT MATE BASE P - 3.6L - ALBA"</f>
        <v>ALBAXPERT MATE BASE P - 3.6L - ALBA</v>
      </c>
      <c r="C2329">
        <v>32600.97</v>
      </c>
      <c r="D2329">
        <v>39447.173699999999</v>
      </c>
    </row>
    <row r="2330" spans="1:4" x14ac:dyDescent="0.25">
      <c r="A2330" t="str">
        <f>"03455"</f>
        <v>03455</v>
      </c>
      <c r="B2330" t="str">
        <f>"ALBAXPERT MATE BASE P - 900ML - ALBA"</f>
        <v>ALBAXPERT MATE BASE P - 900ML - ALBA</v>
      </c>
      <c r="C2330">
        <v>10031.379999999999</v>
      </c>
      <c r="D2330">
        <v>12137.969799999999</v>
      </c>
    </row>
    <row r="2331" spans="1:4" x14ac:dyDescent="0.25">
      <c r="A2331" t="str">
        <f>"03456"</f>
        <v>03456</v>
      </c>
      <c r="B2331" t="str">
        <f>"ALBAXPERT MATE BLANCO - 10L - ALBA"</f>
        <v>ALBAXPERT MATE BLANCO - 10L - ALBA</v>
      </c>
      <c r="C2331">
        <v>76322.080000000002</v>
      </c>
      <c r="D2331">
        <v>92349.716799999995</v>
      </c>
    </row>
    <row r="2332" spans="1:4" x14ac:dyDescent="0.25">
      <c r="A2332" t="str">
        <f>"03457"</f>
        <v>03457</v>
      </c>
      <c r="B2332" t="str">
        <f>"ALBAXPERT MATE BLANCO - 1L - ALBA"</f>
        <v>ALBAXPERT MATE BLANCO - 1L - ALBA</v>
      </c>
      <c r="C2332">
        <v>10903.01</v>
      </c>
      <c r="D2332">
        <v>13192.642099999999</v>
      </c>
    </row>
    <row r="2333" spans="1:4" x14ac:dyDescent="0.25">
      <c r="A2333" t="str">
        <f>"03458"</f>
        <v>03458</v>
      </c>
      <c r="B2333" t="str">
        <f>"ALBAXPERT MATE BLANCO - 20L - ALBA"</f>
        <v>ALBAXPERT MATE BLANCO - 20L - ALBA</v>
      </c>
      <c r="C2333">
        <v>136238.17000000001</v>
      </c>
      <c r="D2333">
        <v>164848.1857</v>
      </c>
    </row>
    <row r="2334" spans="1:4" x14ac:dyDescent="0.25">
      <c r="A2334" t="str">
        <f>"03459"</f>
        <v>03459</v>
      </c>
      <c r="B2334" t="str">
        <f>"ALBAXPERT MATE BLANCO - 4L - ALBA"</f>
        <v>ALBAXPERT MATE BLANCO - 4L - ALBA</v>
      </c>
      <c r="C2334">
        <v>35435.03</v>
      </c>
      <c r="D2334">
        <v>42876.386299999998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GERENCIA</cp:lastModifiedBy>
  <dcterms:created xsi:type="dcterms:W3CDTF">2026-04-22T22:48:05Z</dcterms:created>
  <dcterms:modified xsi:type="dcterms:W3CDTF">2026-04-22T22:50:29Z</dcterms:modified>
</cp:coreProperties>
</file>